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87997\Downloads\"/>
    </mc:Choice>
  </mc:AlternateContent>
  <xr:revisionPtr revIDLastSave="0" documentId="13_ncr:1_{38C89522-7D09-41B2-B9CB-74958F26D98D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TD3" sheetId="3" r:id="rId1"/>
    <sheet name="Q6" sheetId="4" r:id="rId2"/>
    <sheet name="Q6_G" sheetId="5" r:id="rId3"/>
    <sheet name="Carte Khartis" sheetId="6" r:id="rId4"/>
  </sheets>
  <definedNames>
    <definedName name="_xlnm._FilterDatabase" localSheetId="0" hidden="1">'TD3'!$A$8:$X$35</definedName>
  </definedNames>
  <calcPr calcId="191029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10" i="3" l="1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D9" i="3"/>
  <c r="AC9" i="3"/>
  <c r="W41" i="3"/>
  <c r="W40" i="3"/>
  <c r="V41" i="3"/>
  <c r="V40" i="3"/>
  <c r="U41" i="3"/>
  <c r="U40" i="3"/>
  <c r="T41" i="3"/>
  <c r="T40" i="3"/>
  <c r="R40" i="3"/>
  <c r="S40" i="3"/>
  <c r="R41" i="3"/>
  <c r="S41" i="3"/>
  <c r="Q41" i="3"/>
  <c r="Q40" i="3"/>
  <c r="P41" i="3"/>
  <c r="P40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9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9" i="3"/>
  <c r="O40" i="3"/>
  <c r="O41" i="3"/>
  <c r="E41" i="3"/>
  <c r="F41" i="3"/>
  <c r="G41" i="3"/>
  <c r="H41" i="3"/>
  <c r="I41" i="3"/>
  <c r="J41" i="3"/>
  <c r="K41" i="3"/>
  <c r="L41" i="3"/>
  <c r="M41" i="3"/>
  <c r="N41" i="3"/>
  <c r="D41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9" i="3"/>
  <c r="E40" i="3"/>
  <c r="F40" i="3"/>
  <c r="G40" i="3"/>
  <c r="H40" i="3"/>
  <c r="I40" i="3"/>
  <c r="J40" i="3"/>
  <c r="K40" i="3"/>
  <c r="L40" i="3"/>
  <c r="M40" i="3"/>
  <c r="N40" i="3"/>
  <c r="D40" i="3"/>
  <c r="C37" i="3"/>
</calcChain>
</file>

<file path=xl/sharedStrings.xml><?xml version="1.0" encoding="utf-8"?>
<sst xmlns="http://schemas.openxmlformats.org/spreadsheetml/2006/main" count="255" uniqueCount="93">
  <si>
    <t>Production d'électricité et de chaleur par type de combustible</t>
  </si>
  <si>
    <t>Source des données</t>
  </si>
  <si>
    <t>Eurostat</t>
  </si>
  <si>
    <t>NRG_BAL</t>
  </si>
  <si>
    <t>Production brute d'électricité</t>
  </si>
  <si>
    <t>SIEC</t>
  </si>
  <si>
    <t>Éolien</t>
  </si>
  <si>
    <t>UNIT</t>
  </si>
  <si>
    <t>Gigawattheure</t>
  </si>
  <si>
    <t>Zone Euro</t>
  </si>
  <si>
    <t>Danemark</t>
  </si>
  <si>
    <t>Non</t>
  </si>
  <si>
    <t>Lituanie</t>
  </si>
  <si>
    <t>Oui</t>
  </si>
  <si>
    <t>Irlande</t>
  </si>
  <si>
    <t>Portugal</t>
  </si>
  <si>
    <t>Espagne</t>
  </si>
  <si>
    <t>Allemagne</t>
  </si>
  <si>
    <t>Roumanie</t>
  </si>
  <si>
    <t>Suède</t>
  </si>
  <si>
    <t>Luxembourg</t>
  </si>
  <si>
    <t>Zone euro</t>
  </si>
  <si>
    <t>Croatie</t>
  </si>
  <si>
    <t>Grèce</t>
  </si>
  <si>
    <t>Autriche</t>
  </si>
  <si>
    <t>Pays-Bas</t>
  </si>
  <si>
    <t>Pologne</t>
  </si>
  <si>
    <t>Belgique</t>
  </si>
  <si>
    <t>Finlande</t>
  </si>
  <si>
    <t>Italie</t>
  </si>
  <si>
    <t>Estonie</t>
  </si>
  <si>
    <t>France</t>
  </si>
  <si>
    <t>Chypre</t>
  </si>
  <si>
    <t>Bulgarie</t>
  </si>
  <si>
    <t>Hongrie</t>
  </si>
  <si>
    <t>Lettonie</t>
  </si>
  <si>
    <t>Tchéquie</t>
  </si>
  <si>
    <t>Slovénie</t>
  </si>
  <si>
    <t>Slovaquie</t>
  </si>
  <si>
    <t>Malte</t>
  </si>
  <si>
    <t>Nb. pays zone euo</t>
  </si>
  <si>
    <t>Production totale 1999</t>
  </si>
  <si>
    <t>Production totale 2009</t>
  </si>
  <si>
    <t>Production totale 2019</t>
  </si>
  <si>
    <t>Name Khartis</t>
  </si>
  <si>
    <t>DE</t>
  </si>
  <si>
    <t>AT</t>
  </si>
  <si>
    <t>BE</t>
  </si>
  <si>
    <t>BG</t>
  </si>
  <si>
    <t>CY</t>
  </si>
  <si>
    <t>HR</t>
  </si>
  <si>
    <t>DK</t>
  </si>
  <si>
    <t>ES</t>
  </si>
  <si>
    <t>EE</t>
  </si>
  <si>
    <t>FI</t>
  </si>
  <si>
    <t>FR</t>
  </si>
  <si>
    <t>GR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</si>
  <si>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</si>
  <si>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</si>
  <si>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</si>
  <si>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</si>
  <si>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</si>
  <si>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</si>
  <si>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</si>
  <si>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</si>
  <si>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</si>
  <si>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</si>
  <si>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</si>
  <si>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</si>
  <si>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</si>
  <si>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SE</t>
  </si>
  <si>
    <t>CZ</t>
  </si>
  <si>
    <t>Éolien 1999</t>
  </si>
  <si>
    <t>Éolien 2009</t>
  </si>
  <si>
    <t>Éolien 2014</t>
  </si>
  <si>
    <t>Éolien 2015</t>
  </si>
  <si>
    <t>Éolien 2016</t>
  </si>
  <si>
    <t>Éolien 2017</t>
  </si>
  <si>
    <t>Éolien 2018</t>
  </si>
  <si>
    <t>Éolien 2019</t>
  </si>
  <si>
    <t>Evolution éolien 2014/2019</t>
  </si>
  <si>
    <t>% éolien 1999</t>
  </si>
  <si>
    <t>% éolien 2009</t>
  </si>
  <si>
    <t>Pays</t>
  </si>
  <si>
    <t>UE - 27 pays</t>
  </si>
  <si>
    <t>% éolien 2019</t>
  </si>
  <si>
    <t>Production totale 2014</t>
  </si>
  <si>
    <t>% éolien 2014</t>
  </si>
  <si>
    <t>TAM production éolien 2014/2016</t>
  </si>
  <si>
    <t>TAM production éolien 2017/2019</t>
  </si>
  <si>
    <t>TAM % éolien 2014/2019</t>
  </si>
  <si>
    <t>Taux évolution annuel moyen 2014-2019</t>
  </si>
  <si>
    <t>Données formatées pour la carte Khartis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</si>
</sst>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 * #,##0.0_)\ _€_ ;_ * \(#,##0.0\)\ _€_ ;_ * &quot;-&quot;?_)\ _€_ ;_ @_ 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mbria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indexed="2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6"/>
      </patternFill>
    </fill>
    <fill>
      <patternFill patternType="solid">
        <fgColor theme="4" tint="0.59999389629810485"/>
        <bgColor theme="6"/>
      </patternFill>
    </fill>
    <fill>
      <patternFill patternType="solid">
        <fgColor theme="6" tint="0.59999389629810485"/>
        <bgColor theme="6"/>
      </patternFill>
    </fill>
    <fill>
      <patternFill patternType="solid">
        <fgColor theme="9" tint="0.59999389629810485"/>
        <bgColor theme="6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3" xfId="1" applyNumberFormat="1" applyFont="1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right" vertical="center"/>
    </xf>
    <xf numFmtId="164" fontId="0" fillId="0" borderId="13" xfId="1" applyNumberFormat="1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7" fillId="2" borderId="11" xfId="0" applyFont="1" applyFill="1" applyBorder="1" applyAlignment="1">
      <alignment horizontal="center" vertical="center" wrapText="1"/>
    </xf>
    <xf numFmtId="166" fontId="0" fillId="0" borderId="0" xfId="0" applyNumberFormat="1"/>
    <xf numFmtId="164" fontId="0" fillId="0" borderId="14" xfId="1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5" fontId="0" fillId="0" borderId="0" xfId="2" applyNumberFormat="1" applyFont="1"/>
    <xf numFmtId="167" fontId="0" fillId="0" borderId="1" xfId="2" applyNumberFormat="1" applyFont="1" applyBorder="1" applyAlignment="1">
      <alignment horizontal="center" vertical="center"/>
    </xf>
  </cellXfs>
  <cellStyles count="6">
    <cellStyle name="Milliers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Pourcentage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Part d’électricité d’origine éolienne </a:t>
            </a: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produite </a:t>
            </a:r>
            <a:r>
              <a:rPr lang="fr-FR" sz="1400" b="0" i="0" u="none" strike="noStrike" baseline="0"/>
              <a:t>par pays de l'UE en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% éolien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'Q6'!$A$4:$A$30</c:f>
              <c:strCache>
                <c:ptCount val="27"/>
                <c:pt idx="0">
                  <c:v>Malte</c:v>
                </c:pt>
                <c:pt idx="1">
                  <c:v>Slovaquie</c:v>
                </c:pt>
                <c:pt idx="2">
                  <c:v>Slovénie</c:v>
                </c:pt>
                <c:pt idx="3">
                  <c:v>Tchéquie</c:v>
                </c:pt>
                <c:pt idx="4">
                  <c:v>Hongrie</c:v>
                </c:pt>
                <c:pt idx="5">
                  <c:v>Lettonie</c:v>
                </c:pt>
                <c:pt idx="6">
                  <c:v>Bulgarie</c:v>
                </c:pt>
                <c:pt idx="7">
                  <c:v>Chypre</c:v>
                </c:pt>
                <c:pt idx="8">
                  <c:v>France</c:v>
                </c:pt>
                <c:pt idx="9">
                  <c:v>Italie</c:v>
                </c:pt>
                <c:pt idx="10">
                  <c:v>Finlande</c:v>
                </c:pt>
                <c:pt idx="11">
                  <c:v>Estonie</c:v>
                </c:pt>
                <c:pt idx="12">
                  <c:v>Pologne</c:v>
                </c:pt>
                <c:pt idx="13">
                  <c:v>Pays-Bas</c:v>
                </c:pt>
                <c:pt idx="14">
                  <c:v>Autriche</c:v>
                </c:pt>
                <c:pt idx="15">
                  <c:v>Belgique</c:v>
                </c:pt>
                <c:pt idx="16">
                  <c:v>Roumanie</c:v>
                </c:pt>
                <c:pt idx="17">
                  <c:v>Croatie</c:v>
                </c:pt>
                <c:pt idx="18">
                  <c:v>Suède</c:v>
                </c:pt>
                <c:pt idx="19">
                  <c:v>Luxembourg</c:v>
                </c:pt>
                <c:pt idx="20">
                  <c:v>Grèce</c:v>
                </c:pt>
                <c:pt idx="21">
                  <c:v>Espagne</c:v>
                </c:pt>
                <c:pt idx="22">
                  <c:v>Allemagne</c:v>
                </c:pt>
                <c:pt idx="23">
                  <c:v>Portugal</c:v>
                </c:pt>
                <c:pt idx="24">
                  <c:v>Irlande</c:v>
                </c:pt>
                <c:pt idx="25">
                  <c:v>Lituanie</c:v>
                </c:pt>
                <c:pt idx="26">
                  <c:v>Danemark</c:v>
                </c:pt>
              </c:strCache>
            </c:strRef>
          </c:cat>
          <c:val>
            <c:numRef>
              <c:f>'Q6'!$B$4:$B$30</c:f>
              <c:numCache>
                <c:formatCode>0.0%</c:formatCode>
                <c:ptCount val="27"/>
                <c:pt idx="0">
                  <c:v>2.7937764294862872E-5</c:v>
                </c:pt>
                <c:pt idx="1">
                  <c:v>2.1126016689553185E-4</c:v>
                </c:pt>
                <c:pt idx="2">
                  <c:v>3.8199792242820985E-4</c:v>
                </c:pt>
                <c:pt idx="3">
                  <c:v>8.0547953546991104E-3</c:v>
                </c:pt>
                <c:pt idx="4">
                  <c:v>2.1414093940017039E-2</c:v>
                </c:pt>
                <c:pt idx="5">
                  <c:v>2.3918886490944546E-2</c:v>
                </c:pt>
                <c:pt idx="6">
                  <c:v>2.9748473349552312E-2</c:v>
                </c:pt>
                <c:pt idx="7">
                  <c:v>4.6399964523909501E-2</c:v>
                </c:pt>
                <c:pt idx="8">
                  <c:v>6.0884661587864965E-2</c:v>
                </c:pt>
                <c:pt idx="9">
                  <c:v>6.8901180064121756E-2</c:v>
                </c:pt>
                <c:pt idx="10">
                  <c:v>8.8107936758268071E-2</c:v>
                </c:pt>
                <c:pt idx="11">
                  <c:v>9.0213538202544491E-2</c:v>
                </c:pt>
                <c:pt idx="12">
                  <c:v>9.2254407773955396E-2</c:v>
                </c:pt>
                <c:pt idx="13">
                  <c:v>9.5543266878479388E-2</c:v>
                </c:pt>
                <c:pt idx="14">
                  <c:v>0.1007438501708123</c:v>
                </c:pt>
                <c:pt idx="15">
                  <c:v>0.10422869096840431</c:v>
                </c:pt>
                <c:pt idx="16">
                  <c:v>0.11359426984356071</c:v>
                </c:pt>
                <c:pt idx="17">
                  <c:v>0.11498945949546641</c:v>
                </c:pt>
                <c:pt idx="18">
                  <c:v>0.11782900634651119</c:v>
                </c:pt>
                <c:pt idx="19">
                  <c:v>0.14742519671420584</c:v>
                </c:pt>
                <c:pt idx="20">
                  <c:v>0.15977960614734663</c:v>
                </c:pt>
                <c:pt idx="21">
                  <c:v>0.20374709832380145</c:v>
                </c:pt>
                <c:pt idx="22">
                  <c:v>0.20720631754276816</c:v>
                </c:pt>
                <c:pt idx="23">
                  <c:v>0.25711903694479665</c:v>
                </c:pt>
                <c:pt idx="24">
                  <c:v>0.32382617642853467</c:v>
                </c:pt>
                <c:pt idx="25">
                  <c:v>0.39998932934962389</c:v>
                </c:pt>
                <c:pt idx="26">
                  <c:v>0.54697424435912168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2-4611-B467-A6497AF8F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9680816"/>
        <c:axId val="809665456"/>
      </c:barChart>
      <c:catAx>
        <c:axId val="8096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665456"/>
        <c:crosses val="autoZero"/>
        <c:auto val="1"/>
        <c:lblAlgn val="ctr"/>
        <c:lblOffset val="100"/>
        <c:noMultiLvlLbl val="0"/>
      </c:catAx>
      <c:valAx>
        <c:axId val="809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68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A21930-F86F-4425-B44B-321AB389F1DD}">
  <sheetPr>
    <tabColor theme="4"/>
  </sheetPr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111" cy="606777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0332354-15D8-607E-05CE-FF09DF420B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358140</xdr:colOff>
      <xdr:row>109</xdr:row>
      <xdr:rowOff>68580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94DB814-5AC9-8E69-658E-9960702D5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717500" cy="2000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zoomScale="85" zoomScaleNormal="25" zoomScalePageLayoutView="25" workbookViewId="0">
      <selection activeCell="E17" sqref="E17"/>
    </sheetView>
  </sheetViews>
  <sheetFormatPr baseColWidth="10" defaultRowHeight="14.4" x14ac:dyDescent="0.3"/>
  <cols>
    <col min="1" max="1" width="18.44140625" customWidth="1"/>
    <col min="3" max="3" width="15.6640625" style="3" customWidth="1"/>
    <col min="4" max="7" width="12.77734375" customWidth="1"/>
    <col min="15" max="15" width="11.44140625" bestFit="1" customWidth="1"/>
    <col min="21" max="22" width="13.6640625" customWidth="1"/>
    <col min="24" max="24" width="15.33203125" bestFit="1" customWidth="1"/>
    <col min="30" max="30" width="12" bestFit="1" customWidth="1"/>
  </cols>
  <sheetData>
    <row r="1" spans="1:32" x14ac:dyDescent="0.3">
      <c r="A1" s="1" t="s">
        <v>0</v>
      </c>
      <c r="B1" s="1"/>
      <c r="C1" s="2"/>
      <c r="P1" s="3"/>
    </row>
    <row r="2" spans="1:32" x14ac:dyDescent="0.3">
      <c r="A2" s="1" t="s">
        <v>1</v>
      </c>
      <c r="B2" s="1"/>
      <c r="C2" s="35" t="s">
        <v>2</v>
      </c>
      <c r="P2" s="3"/>
    </row>
    <row r="3" spans="1:32" x14ac:dyDescent="0.3">
      <c r="A3" s="1" t="s">
        <v>3</v>
      </c>
      <c r="B3" s="1"/>
      <c r="C3" s="35" t="s">
        <v>4</v>
      </c>
      <c r="P3" s="3"/>
    </row>
    <row r="4" spans="1:32" x14ac:dyDescent="0.3">
      <c r="A4" s="1" t="s">
        <v>5</v>
      </c>
      <c r="B4" s="1"/>
      <c r="C4" s="35" t="s">
        <v>6</v>
      </c>
      <c r="P4" s="3"/>
    </row>
    <row r="5" spans="1:32" x14ac:dyDescent="0.3">
      <c r="A5" s="1" t="s">
        <v>7</v>
      </c>
      <c r="B5" s="1"/>
      <c r="C5" s="35" t="s">
        <v>8</v>
      </c>
      <c r="P5" s="3"/>
    </row>
    <row r="6" spans="1:32" x14ac:dyDescent="0.3">
      <c r="C6" s="2"/>
      <c r="P6" s="3"/>
    </row>
    <row r="7" spans="1:32" x14ac:dyDescent="0.3">
      <c r="C7" s="2"/>
      <c r="P7" s="3"/>
      <c r="AA7" t="s">
        <v>92</v>
      </c>
    </row>
    <row r="8" spans="1:32" s="9" customFormat="1" ht="72" x14ac:dyDescent="0.3">
      <c r="A8" s="18" t="s">
        <v>83</v>
      </c>
      <c r="B8" s="19" t="s">
        <v>44</v>
      </c>
      <c r="C8" s="20" t="s">
        <v>9</v>
      </c>
      <c r="D8" s="15" t="s">
        <v>41</v>
      </c>
      <c r="E8" s="16" t="s">
        <v>42</v>
      </c>
      <c r="F8" s="16" t="s">
        <v>86</v>
      </c>
      <c r="G8" s="17" t="s">
        <v>43</v>
      </c>
      <c r="H8" s="12" t="s">
        <v>72</v>
      </c>
      <c r="I8" s="13" t="s">
        <v>73</v>
      </c>
      <c r="J8" s="13" t="s">
        <v>74</v>
      </c>
      <c r="K8" s="13" t="s">
        <v>75</v>
      </c>
      <c r="L8" s="13" t="s">
        <v>76</v>
      </c>
      <c r="M8" s="13" t="s">
        <v>77</v>
      </c>
      <c r="N8" s="13" t="s">
        <v>78</v>
      </c>
      <c r="O8" s="14" t="s">
        <v>79</v>
      </c>
      <c r="P8" s="10" t="s">
        <v>80</v>
      </c>
      <c r="Q8" s="11" t="s">
        <v>81</v>
      </c>
      <c r="R8" s="11" t="s">
        <v>82</v>
      </c>
      <c r="S8" s="11" t="s">
        <v>87</v>
      </c>
      <c r="T8" s="11" t="s">
        <v>85</v>
      </c>
      <c r="U8" s="11" t="s">
        <v>88</v>
      </c>
      <c r="V8" s="11" t="s">
        <v>89</v>
      </c>
      <c r="W8" s="11" t="s">
        <v>90</v>
      </c>
      <c r="X8" s="21" t="s">
        <v>83</v>
      </c>
      <c r="AA8" s="21" t="s">
        <v>83</v>
      </c>
      <c r="AB8" s="19" t="s">
        <v>44</v>
      </c>
      <c r="AC8" s="11" t="s">
        <v>85</v>
      </c>
      <c r="AD8" s="11" t="s">
        <v>91</v>
      </c>
    </row>
    <row r="9" spans="1:32" x14ac:dyDescent="0.3">
      <c r="A9" s="7" t="s">
        <v>39</v>
      </c>
      <c r="B9" s="22" t="s">
        <v>63</v>
      </c>
      <c r="C9" s="23" t="s">
        <v>13</v>
      </c>
      <c r="D9" s="24">
        <v>1854</v>
      </c>
      <c r="E9" s="22">
        <v>2168</v>
      </c>
      <c r="F9" s="22">
        <v>2244.89</v>
      </c>
      <c r="G9" s="23">
        <v>2076.0430000000001</v>
      </c>
      <c r="H9" s="24">
        <v>0</v>
      </c>
      <c r="I9" s="22">
        <v>0</v>
      </c>
      <c r="J9" s="22">
        <v>5.8000000000000003E-2</v>
      </c>
      <c r="K9" s="22">
        <v>5.8000000000000003E-2</v>
      </c>
      <c r="L9" s="22">
        <v>5.8000000000000003E-2</v>
      </c>
      <c r="M9" s="22">
        <v>5.8000000000000003E-2</v>
      </c>
      <c r="N9" s="22">
        <v>5.8000000000000003E-2</v>
      </c>
      <c r="O9" s="23">
        <v>5.8000000000000003E-2</v>
      </c>
      <c r="P9" s="25">
        <f>(O9-J9)/J9</f>
        <v>0</v>
      </c>
      <c r="Q9" s="25">
        <f>H9/D9</f>
        <v>0</v>
      </c>
      <c r="R9" s="25">
        <f>I9/E9</f>
        <v>0</v>
      </c>
      <c r="S9" s="25">
        <f>J9/F9</f>
        <v>2.5836455238341301E-5</v>
      </c>
      <c r="T9" s="25">
        <f>O9/G9</f>
        <v>2.7937764294862872E-5</v>
      </c>
      <c r="U9" s="25">
        <f>(L9/J9)^(1/2)-1</f>
        <v>0</v>
      </c>
      <c r="V9" s="25">
        <f>(O9/M9)^(1/2)-1</f>
        <v>0</v>
      </c>
      <c r="W9" s="25">
        <f>(O9/J9)^(1/5)-1</f>
        <v>0</v>
      </c>
      <c r="X9" s="26" t="s">
        <v>39</v>
      </c>
      <c r="AA9" s="26" t="s">
        <v>39</v>
      </c>
      <c r="AB9" s="38" t="s">
        <v>63</v>
      </c>
      <c r="AC9" s="42">
        <f>AE9*100</f>
        <v>2.7937764294862872E-3</v>
      </c>
      <c r="AD9" s="42">
        <f>AF9*100</f>
        <v>0</v>
      </c>
      <c r="AE9">
        <v>2.7937764294862872E-5</v>
      </c>
      <c r="AF9">
        <v>0</v>
      </c>
    </row>
    <row r="10" spans="1:32" x14ac:dyDescent="0.3">
      <c r="A10" s="7" t="s">
        <v>38</v>
      </c>
      <c r="B10" s="22" t="s">
        <v>68</v>
      </c>
      <c r="C10" s="23" t="s">
        <v>13</v>
      </c>
      <c r="D10" s="24">
        <v>28407</v>
      </c>
      <c r="E10" s="22">
        <v>26115.561000000002</v>
      </c>
      <c r="F10" s="22">
        <v>27283</v>
      </c>
      <c r="G10" s="23">
        <v>28401</v>
      </c>
      <c r="H10" s="24">
        <v>0</v>
      </c>
      <c r="I10" s="22">
        <v>6</v>
      </c>
      <c r="J10" s="22">
        <v>6</v>
      </c>
      <c r="K10" s="22">
        <v>6</v>
      </c>
      <c r="L10" s="22">
        <v>6</v>
      </c>
      <c r="M10" s="22">
        <v>6</v>
      </c>
      <c r="N10" s="22">
        <v>6</v>
      </c>
      <c r="O10" s="23">
        <v>6</v>
      </c>
      <c r="P10" s="25">
        <f t="shared" ref="P10:P35" si="0">(O10-J10)/J10</f>
        <v>0</v>
      </c>
      <c r="Q10" s="25">
        <f t="shared" ref="Q10:Q35" si="1">H10/D10</f>
        <v>0</v>
      </c>
      <c r="R10" s="25">
        <f t="shared" ref="R10:R35" si="2">I10/E10</f>
        <v>2.2974808008145028E-4</v>
      </c>
      <c r="S10" s="25">
        <f t="shared" ref="S10:S35" si="3">J10/F10</f>
        <v>2.1991716453469194E-4</v>
      </c>
      <c r="T10" s="25">
        <f t="shared" ref="T10:T35" si="4">O10/G10</f>
        <v>2.1126016689553185E-4</v>
      </c>
      <c r="U10" s="25">
        <f t="shared" ref="U10:U35" si="5">(L10/J10)^(1/2)-1</f>
        <v>0</v>
      </c>
      <c r="V10" s="25">
        <f t="shared" ref="V10:V35" si="6">(O10/M10)^(1/2)-1</f>
        <v>0</v>
      </c>
      <c r="W10" s="25">
        <f t="shared" ref="W10:W35" si="7">(O10/J10)^(1/5)-1</f>
        <v>0</v>
      </c>
      <c r="X10" s="26" t="s">
        <v>38</v>
      </c>
      <c r="AA10" s="26" t="s">
        <v>38</v>
      </c>
      <c r="AB10" s="24" t="s">
        <v>68</v>
      </c>
      <c r="AC10" s="42">
        <f t="shared" ref="AC10:AC35" si="8">AE10*100</f>
        <v>2.1126016689553186E-2</v>
      </c>
      <c r="AD10" s="42">
        <f t="shared" ref="AD10:AD35" si="9">AF10*100</f>
        <v>0</v>
      </c>
      <c r="AE10">
        <v>2.1126016689553185E-4</v>
      </c>
      <c r="AF10">
        <v>0</v>
      </c>
    </row>
    <row r="11" spans="1:32" x14ac:dyDescent="0.3">
      <c r="A11" s="7" t="s">
        <v>37</v>
      </c>
      <c r="B11" s="22" t="s">
        <v>69</v>
      </c>
      <c r="C11" s="23" t="s">
        <v>13</v>
      </c>
      <c r="D11" s="24">
        <v>13262</v>
      </c>
      <c r="E11" s="22">
        <v>16403.179</v>
      </c>
      <c r="F11" s="22">
        <v>17437.741000000002</v>
      </c>
      <c r="G11" s="23">
        <v>16099.564</v>
      </c>
      <c r="H11" s="24">
        <v>0</v>
      </c>
      <c r="I11" s="22">
        <v>0</v>
      </c>
      <c r="J11" s="22">
        <v>4.2089999999999996</v>
      </c>
      <c r="K11" s="22">
        <v>6.0279999999999996</v>
      </c>
      <c r="L11" s="22">
        <v>5.7779999999999996</v>
      </c>
      <c r="M11" s="22">
        <v>5.7160000000000002</v>
      </c>
      <c r="N11" s="22">
        <v>6.0209999999999999</v>
      </c>
      <c r="O11" s="23">
        <v>6.15</v>
      </c>
      <c r="P11" s="25">
        <f t="shared" si="0"/>
        <v>0.46115466856735587</v>
      </c>
      <c r="Q11" s="25">
        <f t="shared" si="1"/>
        <v>0</v>
      </c>
      <c r="R11" s="25">
        <f t="shared" si="2"/>
        <v>0</v>
      </c>
      <c r="S11" s="25">
        <f t="shared" si="3"/>
        <v>2.4137300812071926E-4</v>
      </c>
      <c r="T11" s="25">
        <f t="shared" si="4"/>
        <v>3.8199792242820985E-4</v>
      </c>
      <c r="U11" s="25">
        <f t="shared" si="5"/>
        <v>0.17165380129046803</v>
      </c>
      <c r="V11" s="25">
        <f t="shared" si="6"/>
        <v>3.7269117362244586E-2</v>
      </c>
      <c r="W11" s="25">
        <f t="shared" si="7"/>
        <v>7.8795777717281412E-2</v>
      </c>
      <c r="X11" s="26" t="s">
        <v>37</v>
      </c>
      <c r="AA11" s="26" t="s">
        <v>37</v>
      </c>
      <c r="AB11" s="24" t="s">
        <v>69</v>
      </c>
      <c r="AC11" s="42">
        <f t="shared" si="8"/>
        <v>3.8199792242820982E-2</v>
      </c>
      <c r="AD11" s="42">
        <f t="shared" si="9"/>
        <v>7.8795777717281412</v>
      </c>
      <c r="AE11">
        <v>3.8199792242820985E-4</v>
      </c>
      <c r="AF11">
        <v>7.8795777717281412E-2</v>
      </c>
    </row>
    <row r="12" spans="1:32" x14ac:dyDescent="0.3">
      <c r="A12" s="7" t="s">
        <v>36</v>
      </c>
      <c r="B12" s="22" t="s">
        <v>71</v>
      </c>
      <c r="C12" s="23" t="s">
        <v>11</v>
      </c>
      <c r="D12" s="24">
        <v>64694.232000000004</v>
      </c>
      <c r="E12" s="22">
        <v>82185.712</v>
      </c>
      <c r="F12" s="22">
        <v>86059.804000000004</v>
      </c>
      <c r="G12" s="23">
        <v>86906.490999999995</v>
      </c>
      <c r="H12" s="24">
        <v>0</v>
      </c>
      <c r="I12" s="22">
        <v>288.06700000000001</v>
      </c>
      <c r="J12" s="22">
        <v>476.54399999999998</v>
      </c>
      <c r="K12" s="22">
        <v>572.61199999999997</v>
      </c>
      <c r="L12" s="22">
        <v>496.95699999999999</v>
      </c>
      <c r="M12" s="22">
        <v>591.03800000000001</v>
      </c>
      <c r="N12" s="22">
        <v>609.33000000000004</v>
      </c>
      <c r="O12" s="23">
        <v>700.01400000000001</v>
      </c>
      <c r="P12" s="25">
        <f t="shared" si="0"/>
        <v>0.4689388597904916</v>
      </c>
      <c r="Q12" s="25">
        <f t="shared" si="1"/>
        <v>0</v>
      </c>
      <c r="R12" s="25">
        <f t="shared" si="2"/>
        <v>3.5050739719818939E-3</v>
      </c>
      <c r="S12" s="25">
        <f t="shared" si="3"/>
        <v>5.5373586488763086E-3</v>
      </c>
      <c r="T12" s="25">
        <f t="shared" si="4"/>
        <v>8.0547953546991104E-3</v>
      </c>
      <c r="U12" s="25">
        <f t="shared" si="5"/>
        <v>2.1193174147574156E-2</v>
      </c>
      <c r="V12" s="25">
        <f t="shared" si="6"/>
        <v>8.8292561638699807E-2</v>
      </c>
      <c r="W12" s="25">
        <f t="shared" si="7"/>
        <v>7.994277671218275E-2</v>
      </c>
      <c r="X12" s="26" t="s">
        <v>36</v>
      </c>
      <c r="AA12" s="26" t="s">
        <v>36</v>
      </c>
      <c r="AB12" s="24" t="s">
        <v>71</v>
      </c>
      <c r="AC12" s="42">
        <f t="shared" si="8"/>
        <v>0.80547953546991102</v>
      </c>
      <c r="AD12" s="42">
        <f t="shared" si="9"/>
        <v>7.994277671218275</v>
      </c>
      <c r="AE12">
        <v>8.0547953546991104E-3</v>
      </c>
      <c r="AF12">
        <v>7.994277671218275E-2</v>
      </c>
    </row>
    <row r="13" spans="1:32" x14ac:dyDescent="0.3">
      <c r="A13" s="7" t="s">
        <v>34</v>
      </c>
      <c r="B13" s="22" t="s">
        <v>57</v>
      </c>
      <c r="C13" s="23" t="s">
        <v>11</v>
      </c>
      <c r="D13" s="24">
        <v>37831.620999999999</v>
      </c>
      <c r="E13" s="22">
        <v>35908.014999999999</v>
      </c>
      <c r="F13" s="22">
        <v>29347.942999999999</v>
      </c>
      <c r="G13" s="23">
        <v>34043</v>
      </c>
      <c r="H13" s="24">
        <v>0</v>
      </c>
      <c r="I13" s="22">
        <v>330.93</v>
      </c>
      <c r="J13" s="22">
        <v>656.54</v>
      </c>
      <c r="K13" s="22">
        <v>693.32299999999998</v>
      </c>
      <c r="L13" s="22">
        <v>683.69200000000001</v>
      </c>
      <c r="M13" s="22">
        <v>758</v>
      </c>
      <c r="N13" s="22">
        <v>607</v>
      </c>
      <c r="O13" s="23">
        <v>729</v>
      </c>
      <c r="P13" s="25">
        <f t="shared" si="0"/>
        <v>0.11036646662808061</v>
      </c>
      <c r="Q13" s="25">
        <f t="shared" si="1"/>
        <v>0</v>
      </c>
      <c r="R13" s="25">
        <f t="shared" si="2"/>
        <v>9.2160482833707185E-3</v>
      </c>
      <c r="S13" s="25">
        <f t="shared" si="3"/>
        <v>2.2370903473541568E-2</v>
      </c>
      <c r="T13" s="25">
        <f t="shared" si="4"/>
        <v>2.1414093940017039E-2</v>
      </c>
      <c r="U13" s="25">
        <f t="shared" si="5"/>
        <v>2.0468618179147136E-2</v>
      </c>
      <c r="V13" s="25">
        <f t="shared" si="6"/>
        <v>-1.931583840560025E-2</v>
      </c>
      <c r="W13" s="25">
        <f t="shared" si="7"/>
        <v>2.1158760493011464E-2</v>
      </c>
      <c r="X13" s="26" t="s">
        <v>34</v>
      </c>
      <c r="AA13" s="26" t="s">
        <v>34</v>
      </c>
      <c r="AB13" s="24" t="s">
        <v>57</v>
      </c>
      <c r="AC13" s="42">
        <f t="shared" si="8"/>
        <v>2.141409394001704</v>
      </c>
      <c r="AD13" s="42">
        <f t="shared" si="9"/>
        <v>2.1158760493011464</v>
      </c>
      <c r="AE13">
        <v>2.1414093940017039E-2</v>
      </c>
      <c r="AF13">
        <v>2.1158760493011464E-2</v>
      </c>
    </row>
    <row r="14" spans="1:32" x14ac:dyDescent="0.3">
      <c r="A14" s="7" t="s">
        <v>35</v>
      </c>
      <c r="B14" s="22" t="s">
        <v>60</v>
      </c>
      <c r="C14" s="23" t="s">
        <v>13</v>
      </c>
      <c r="D14" s="24">
        <v>4109.32</v>
      </c>
      <c r="E14" s="22">
        <v>5568.067</v>
      </c>
      <c r="F14" s="22">
        <v>5139.4110000000001</v>
      </c>
      <c r="G14" s="23">
        <v>6438.3850000000002</v>
      </c>
      <c r="H14" s="24">
        <v>2.1349999999999998</v>
      </c>
      <c r="I14" s="22">
        <v>50.088999999999999</v>
      </c>
      <c r="J14" s="22">
        <v>139.71199999999999</v>
      </c>
      <c r="K14" s="22">
        <v>147.13499999999999</v>
      </c>
      <c r="L14" s="22">
        <v>127.889</v>
      </c>
      <c r="M14" s="22">
        <v>150</v>
      </c>
      <c r="N14" s="22">
        <v>122.038</v>
      </c>
      <c r="O14" s="23">
        <v>153.999</v>
      </c>
      <c r="P14" s="25">
        <f t="shared" si="0"/>
        <v>0.10226036417773711</v>
      </c>
      <c r="Q14" s="25">
        <f t="shared" si="1"/>
        <v>5.1955067991784525E-4</v>
      </c>
      <c r="R14" s="25">
        <f t="shared" si="2"/>
        <v>8.9957610064677739E-3</v>
      </c>
      <c r="S14" s="25">
        <f t="shared" si="3"/>
        <v>2.718443806109299E-2</v>
      </c>
      <c r="T14" s="25">
        <f t="shared" si="4"/>
        <v>2.3918886490944546E-2</v>
      </c>
      <c r="U14" s="25">
        <f t="shared" si="5"/>
        <v>-4.3247202162226439E-2</v>
      </c>
      <c r="V14" s="25">
        <f t="shared" si="6"/>
        <v>1.3242320474228908E-2</v>
      </c>
      <c r="W14" s="25">
        <f t="shared" si="7"/>
        <v>1.9663417087026902E-2</v>
      </c>
      <c r="X14" s="26" t="s">
        <v>35</v>
      </c>
      <c r="AA14" s="26" t="s">
        <v>35</v>
      </c>
      <c r="AB14" s="24" t="s">
        <v>60</v>
      </c>
      <c r="AC14" s="42">
        <f t="shared" si="8"/>
        <v>2.3918886490944544</v>
      </c>
      <c r="AD14" s="42">
        <f t="shared" si="9"/>
        <v>1.9663417087026902</v>
      </c>
      <c r="AE14">
        <v>2.3918886490944546E-2</v>
      </c>
      <c r="AF14">
        <v>1.9663417087026902E-2</v>
      </c>
    </row>
    <row r="15" spans="1:32" x14ac:dyDescent="0.3">
      <c r="A15" s="7" t="s">
        <v>33</v>
      </c>
      <c r="B15" s="22" t="s">
        <v>48</v>
      </c>
      <c r="C15" s="23" t="s">
        <v>11</v>
      </c>
      <c r="D15" s="24">
        <v>38248</v>
      </c>
      <c r="E15" s="22">
        <v>42948.39</v>
      </c>
      <c r="F15" s="22">
        <v>47471.462</v>
      </c>
      <c r="G15" s="23">
        <v>44270.775999999998</v>
      </c>
      <c r="H15" s="24">
        <v>0</v>
      </c>
      <c r="I15" s="22">
        <v>237.00899999999999</v>
      </c>
      <c r="J15" s="22">
        <v>1330.577</v>
      </c>
      <c r="K15" s="22">
        <v>1451.511</v>
      </c>
      <c r="L15" s="22">
        <v>1424.97</v>
      </c>
      <c r="M15" s="22">
        <v>1504.0640000000001</v>
      </c>
      <c r="N15" s="22">
        <v>1318.123</v>
      </c>
      <c r="O15" s="23">
        <v>1316.9880000000001</v>
      </c>
      <c r="P15" s="25">
        <f t="shared" si="0"/>
        <v>-1.021286254008595E-2</v>
      </c>
      <c r="Q15" s="25">
        <f t="shared" si="1"/>
        <v>0</v>
      </c>
      <c r="R15" s="25">
        <f t="shared" si="2"/>
        <v>5.5184606454397938E-3</v>
      </c>
      <c r="S15" s="25">
        <f t="shared" si="3"/>
        <v>2.8028987183921154E-2</v>
      </c>
      <c r="T15" s="25">
        <f t="shared" si="4"/>
        <v>2.9748473349552312E-2</v>
      </c>
      <c r="U15" s="25">
        <f t="shared" si="5"/>
        <v>3.4862987847486204E-2</v>
      </c>
      <c r="V15" s="25">
        <f t="shared" si="6"/>
        <v>-6.4254492672934038E-2</v>
      </c>
      <c r="W15" s="25">
        <f t="shared" si="7"/>
        <v>-2.0509682122445971E-3</v>
      </c>
      <c r="X15" s="26" t="s">
        <v>33</v>
      </c>
      <c r="AA15" s="26" t="s">
        <v>33</v>
      </c>
      <c r="AB15" s="24" t="s">
        <v>48</v>
      </c>
      <c r="AC15" s="42">
        <f t="shared" si="8"/>
        <v>2.9748473349552311</v>
      </c>
      <c r="AD15" s="42">
        <f t="shared" si="9"/>
        <v>-0.20509682122445971</v>
      </c>
      <c r="AE15">
        <v>2.9748473349552312E-2</v>
      </c>
      <c r="AF15">
        <v>-2.0509682122445971E-3</v>
      </c>
    </row>
    <row r="16" spans="1:32" x14ac:dyDescent="0.3">
      <c r="A16" s="7" t="s">
        <v>32</v>
      </c>
      <c r="B16" s="22" t="s">
        <v>49</v>
      </c>
      <c r="C16" s="23" t="s">
        <v>13</v>
      </c>
      <c r="D16" s="24">
        <v>3139</v>
      </c>
      <c r="E16" s="22">
        <v>5214.7079999999996</v>
      </c>
      <c r="F16" s="22">
        <v>4349.9219999999996</v>
      </c>
      <c r="G16" s="23">
        <v>5141.491</v>
      </c>
      <c r="H16" s="24">
        <v>0</v>
      </c>
      <c r="I16" s="22">
        <v>0.35499999999999998</v>
      </c>
      <c r="J16" s="22">
        <v>182.85</v>
      </c>
      <c r="K16" s="22">
        <v>221.857</v>
      </c>
      <c r="L16" s="22">
        <v>226.70099999999999</v>
      </c>
      <c r="M16" s="22">
        <v>211.44800000000001</v>
      </c>
      <c r="N16" s="22">
        <v>221.04</v>
      </c>
      <c r="O16" s="23">
        <v>238.565</v>
      </c>
      <c r="P16" s="25">
        <f t="shared" si="0"/>
        <v>0.304703308722997</v>
      </c>
      <c r="Q16" s="25">
        <f t="shared" si="1"/>
        <v>0</v>
      </c>
      <c r="R16" s="25">
        <f t="shared" si="2"/>
        <v>6.8076678502420457E-5</v>
      </c>
      <c r="S16" s="25">
        <f t="shared" si="3"/>
        <v>4.2035236493895754E-2</v>
      </c>
      <c r="T16" s="25">
        <f t="shared" si="4"/>
        <v>4.6399964523909501E-2</v>
      </c>
      <c r="U16" s="25">
        <f t="shared" si="5"/>
        <v>0.11347183359084756</v>
      </c>
      <c r="V16" s="25">
        <f t="shared" si="6"/>
        <v>6.2188446778656203E-2</v>
      </c>
      <c r="W16" s="25">
        <f t="shared" si="7"/>
        <v>5.4635419276315211E-2</v>
      </c>
      <c r="X16" s="26" t="s">
        <v>32</v>
      </c>
      <c r="AA16" s="26" t="s">
        <v>32</v>
      </c>
      <c r="AB16" s="24" t="s">
        <v>49</v>
      </c>
      <c r="AC16" s="42">
        <f t="shared" si="8"/>
        <v>4.6399964523909505</v>
      </c>
      <c r="AD16" s="42">
        <f t="shared" si="9"/>
        <v>5.4635419276315211</v>
      </c>
      <c r="AE16">
        <v>4.6399964523909501E-2</v>
      </c>
      <c r="AF16">
        <v>5.4635419276315211E-2</v>
      </c>
    </row>
    <row r="17" spans="1:32" x14ac:dyDescent="0.3">
      <c r="A17" s="7" t="s">
        <v>31</v>
      </c>
      <c r="B17" s="22" t="s">
        <v>55</v>
      </c>
      <c r="C17" s="23" t="s">
        <v>13</v>
      </c>
      <c r="D17" s="24">
        <v>525806.22699999996</v>
      </c>
      <c r="E17" s="22">
        <v>535684.13500000001</v>
      </c>
      <c r="F17" s="22">
        <v>571999.59199999995</v>
      </c>
      <c r="G17" s="23">
        <v>570286.228</v>
      </c>
      <c r="H17" s="24">
        <v>36.944000000000003</v>
      </c>
      <c r="I17" s="22">
        <v>7911.57</v>
      </c>
      <c r="J17" s="22">
        <v>17323.778999999999</v>
      </c>
      <c r="K17" s="22">
        <v>21420.601999999999</v>
      </c>
      <c r="L17" s="22">
        <v>21380.984</v>
      </c>
      <c r="M17" s="22">
        <v>24609.437000000002</v>
      </c>
      <c r="N17" s="22">
        <v>28598.595000000001</v>
      </c>
      <c r="O17" s="23">
        <v>34721.684000000001</v>
      </c>
      <c r="P17" s="25">
        <f t="shared" si="0"/>
        <v>1.0042788585562079</v>
      </c>
      <c r="Q17" s="25">
        <f t="shared" si="1"/>
        <v>7.0261625106238999E-5</v>
      </c>
      <c r="R17" s="25">
        <f t="shared" si="2"/>
        <v>1.4769095224371354E-2</v>
      </c>
      <c r="S17" s="25">
        <f t="shared" si="3"/>
        <v>3.0286348525926921E-2</v>
      </c>
      <c r="T17" s="25">
        <f t="shared" si="4"/>
        <v>6.0884661587864965E-2</v>
      </c>
      <c r="U17" s="25">
        <f t="shared" si="5"/>
        <v>0.11094491862023026</v>
      </c>
      <c r="V17" s="25">
        <f t="shared" si="6"/>
        <v>0.18781703938574856</v>
      </c>
      <c r="W17" s="25">
        <f t="shared" si="7"/>
        <v>0.14918944669276457</v>
      </c>
      <c r="X17" s="26" t="s">
        <v>31</v>
      </c>
      <c r="AA17" s="26" t="s">
        <v>31</v>
      </c>
      <c r="AB17" s="24" t="s">
        <v>55</v>
      </c>
      <c r="AC17" s="42">
        <f t="shared" si="8"/>
        <v>6.0884661587864963</v>
      </c>
      <c r="AD17" s="42">
        <f t="shared" si="9"/>
        <v>14.918944669276456</v>
      </c>
      <c r="AE17">
        <v>6.0884661587864965E-2</v>
      </c>
      <c r="AF17">
        <v>0.14918944669276457</v>
      </c>
    </row>
    <row r="18" spans="1:32" x14ac:dyDescent="0.3">
      <c r="A18" s="7" t="s">
        <v>29</v>
      </c>
      <c r="B18" s="22" t="s">
        <v>59</v>
      </c>
      <c r="C18" s="23" t="s">
        <v>13</v>
      </c>
      <c r="D18" s="24">
        <v>265010</v>
      </c>
      <c r="E18" s="22">
        <v>292037.98</v>
      </c>
      <c r="F18" s="22">
        <v>279165.50400000002</v>
      </c>
      <c r="G18" s="23">
        <v>293203.13500000001</v>
      </c>
      <c r="H18" s="24">
        <v>403</v>
      </c>
      <c r="I18" s="22">
        <v>6542.8590000000004</v>
      </c>
      <c r="J18" s="22">
        <v>15178.31</v>
      </c>
      <c r="K18" s="22">
        <v>14843.882</v>
      </c>
      <c r="L18" s="22">
        <v>17688.669999999998</v>
      </c>
      <c r="M18" s="22">
        <v>17741.909</v>
      </c>
      <c r="N18" s="22">
        <v>17716.434000000001</v>
      </c>
      <c r="O18" s="23">
        <v>20202.042000000001</v>
      </c>
      <c r="P18" s="25">
        <f t="shared" si="0"/>
        <v>0.33098098536661869</v>
      </c>
      <c r="Q18" s="25">
        <f t="shared" si="1"/>
        <v>1.5206973321761443E-3</v>
      </c>
      <c r="R18" s="25">
        <f t="shared" si="2"/>
        <v>2.2404137297484392E-2</v>
      </c>
      <c r="S18" s="25">
        <f t="shared" si="3"/>
        <v>5.4370292111735975E-2</v>
      </c>
      <c r="T18" s="25">
        <f t="shared" si="4"/>
        <v>6.8901180064121756E-2</v>
      </c>
      <c r="U18" s="25">
        <f t="shared" si="5"/>
        <v>7.9532895353750632E-2</v>
      </c>
      <c r="V18" s="25">
        <f t="shared" si="6"/>
        <v>6.7081181917806321E-2</v>
      </c>
      <c r="W18" s="25">
        <f t="shared" si="7"/>
        <v>5.8849827555314871E-2</v>
      </c>
      <c r="X18" s="26" t="s">
        <v>29</v>
      </c>
      <c r="AA18" s="26" t="s">
        <v>29</v>
      </c>
      <c r="AB18" s="24" t="s">
        <v>59</v>
      </c>
      <c r="AC18" s="42">
        <f t="shared" si="8"/>
        <v>6.8901180064121759</v>
      </c>
      <c r="AD18" s="42">
        <f t="shared" si="9"/>
        <v>5.8849827555314871</v>
      </c>
      <c r="AE18">
        <v>6.8901180064121756E-2</v>
      </c>
      <c r="AF18">
        <v>5.8849827555314871E-2</v>
      </c>
    </row>
    <row r="19" spans="1:32" x14ac:dyDescent="0.3">
      <c r="A19" s="7" t="s">
        <v>28</v>
      </c>
      <c r="B19" s="22" t="s">
        <v>54</v>
      </c>
      <c r="C19" s="23" t="s">
        <v>13</v>
      </c>
      <c r="D19" s="24">
        <v>69457.417000000001</v>
      </c>
      <c r="E19" s="22">
        <v>71775.997000000003</v>
      </c>
      <c r="F19" s="22">
        <v>67803.524000000005</v>
      </c>
      <c r="G19" s="23">
        <v>68379.152000000002</v>
      </c>
      <c r="H19" s="24">
        <v>49</v>
      </c>
      <c r="I19" s="22">
        <v>276.62400000000002</v>
      </c>
      <c r="J19" s="22">
        <v>1107.172</v>
      </c>
      <c r="K19" s="22">
        <v>2327.3589999999999</v>
      </c>
      <c r="L19" s="22">
        <v>3068.0410000000002</v>
      </c>
      <c r="M19" s="22">
        <v>4795.192</v>
      </c>
      <c r="N19" s="22">
        <v>5838.6679999999997</v>
      </c>
      <c r="O19" s="23">
        <v>6024.7460000000001</v>
      </c>
      <c r="P19" s="25">
        <f t="shared" si="0"/>
        <v>4.4415628285397393</v>
      </c>
      <c r="Q19" s="25">
        <f t="shared" si="1"/>
        <v>7.054682151511623E-4</v>
      </c>
      <c r="R19" s="25">
        <f t="shared" si="2"/>
        <v>3.8539903527916165E-3</v>
      </c>
      <c r="S19" s="25">
        <f t="shared" si="3"/>
        <v>1.6329121772490761E-2</v>
      </c>
      <c r="T19" s="25">
        <f t="shared" si="4"/>
        <v>8.8107936758268071E-2</v>
      </c>
      <c r="U19" s="25">
        <f t="shared" si="5"/>
        <v>0.6646503731950808</v>
      </c>
      <c r="V19" s="25">
        <f t="shared" si="6"/>
        <v>0.12089871291499343</v>
      </c>
      <c r="W19" s="25">
        <f t="shared" si="7"/>
        <v>0.40328127319669482</v>
      </c>
      <c r="X19" s="26" t="s">
        <v>28</v>
      </c>
      <c r="AA19" s="26" t="s">
        <v>28</v>
      </c>
      <c r="AB19" s="24" t="s">
        <v>54</v>
      </c>
      <c r="AC19" s="42">
        <f t="shared" si="8"/>
        <v>8.8107936758268064</v>
      </c>
      <c r="AD19" s="42">
        <f t="shared" si="9"/>
        <v>40.328127319669484</v>
      </c>
      <c r="AE19">
        <v>8.8107936758268071E-2</v>
      </c>
      <c r="AF19">
        <v>0.40328127319669482</v>
      </c>
    </row>
    <row r="20" spans="1:32" x14ac:dyDescent="0.3">
      <c r="A20" s="7" t="s">
        <v>30</v>
      </c>
      <c r="B20" s="22" t="s">
        <v>53</v>
      </c>
      <c r="C20" s="23" t="s">
        <v>13</v>
      </c>
      <c r="D20" s="24">
        <v>8268</v>
      </c>
      <c r="E20" s="22">
        <v>8778.32</v>
      </c>
      <c r="F20" s="22">
        <v>12445.714</v>
      </c>
      <c r="G20" s="23">
        <v>7615.2650000000003</v>
      </c>
      <c r="H20" s="24">
        <v>0</v>
      </c>
      <c r="I20" s="22">
        <v>195.553</v>
      </c>
      <c r="J20" s="22">
        <v>603.67999999999995</v>
      </c>
      <c r="K20" s="22">
        <v>715</v>
      </c>
      <c r="L20" s="22">
        <v>594</v>
      </c>
      <c r="M20" s="22">
        <v>723</v>
      </c>
      <c r="N20" s="22">
        <v>636</v>
      </c>
      <c r="O20" s="23">
        <v>687</v>
      </c>
      <c r="P20" s="25">
        <f t="shared" si="0"/>
        <v>0.13802014312218402</v>
      </c>
      <c r="Q20" s="25">
        <f t="shared" si="1"/>
        <v>0</v>
      </c>
      <c r="R20" s="25">
        <f t="shared" si="2"/>
        <v>2.2276813786692669E-2</v>
      </c>
      <c r="S20" s="25">
        <f t="shared" si="3"/>
        <v>4.8505051618573262E-2</v>
      </c>
      <c r="T20" s="25">
        <f t="shared" si="4"/>
        <v>9.0213538202544491E-2</v>
      </c>
      <c r="U20" s="25">
        <f t="shared" si="5"/>
        <v>-8.0498931008377017E-3</v>
      </c>
      <c r="V20" s="25">
        <f t="shared" si="6"/>
        <v>-2.5214142039561627E-2</v>
      </c>
      <c r="W20" s="25">
        <f t="shared" si="7"/>
        <v>2.6195225795747179E-2</v>
      </c>
      <c r="X20" s="26" t="s">
        <v>30</v>
      </c>
      <c r="AA20" s="26" t="s">
        <v>30</v>
      </c>
      <c r="AB20" s="24" t="s">
        <v>53</v>
      </c>
      <c r="AC20" s="42">
        <f t="shared" si="8"/>
        <v>9.0213538202544488</v>
      </c>
      <c r="AD20" s="42">
        <f t="shared" si="9"/>
        <v>2.6195225795747179</v>
      </c>
      <c r="AE20">
        <v>9.0213538202544491E-2</v>
      </c>
      <c r="AF20">
        <v>2.6195225795747179E-2</v>
      </c>
    </row>
    <row r="21" spans="1:32" x14ac:dyDescent="0.3">
      <c r="A21" s="7" t="s">
        <v>26</v>
      </c>
      <c r="B21" s="22" t="s">
        <v>65</v>
      </c>
      <c r="C21" s="23" t="s">
        <v>11</v>
      </c>
      <c r="D21" s="24">
        <v>142128</v>
      </c>
      <c r="E21" s="22">
        <v>151686.64300000001</v>
      </c>
      <c r="F21" s="22">
        <v>158916.788</v>
      </c>
      <c r="G21" s="23">
        <v>163751.08100000001</v>
      </c>
      <c r="H21" s="24">
        <v>4</v>
      </c>
      <c r="I21" s="22">
        <v>1077.278</v>
      </c>
      <c r="J21" s="22">
        <v>7675.6289999999999</v>
      </c>
      <c r="K21" s="22">
        <v>10858.365</v>
      </c>
      <c r="L21" s="22">
        <v>12587.59</v>
      </c>
      <c r="M21" s="22">
        <v>14909.040999999999</v>
      </c>
      <c r="N21" s="22">
        <v>12798.791999999999</v>
      </c>
      <c r="O21" s="23">
        <v>15106.759</v>
      </c>
      <c r="P21" s="25">
        <f t="shared" si="0"/>
        <v>0.9681460633389134</v>
      </c>
      <c r="Q21" s="25">
        <f t="shared" si="1"/>
        <v>2.8143645164921759E-5</v>
      </c>
      <c r="R21" s="25">
        <f t="shared" si="2"/>
        <v>7.1019964493511797E-3</v>
      </c>
      <c r="S21" s="25">
        <f t="shared" si="3"/>
        <v>4.8299673663175217E-2</v>
      </c>
      <c r="T21" s="25">
        <f t="shared" si="4"/>
        <v>9.2254407773955396E-2</v>
      </c>
      <c r="U21" s="25">
        <f t="shared" si="5"/>
        <v>0.28060238656152636</v>
      </c>
      <c r="V21" s="25">
        <f t="shared" si="6"/>
        <v>6.6089695431912343E-3</v>
      </c>
      <c r="W21" s="25">
        <f t="shared" si="7"/>
        <v>0.14501576218334966</v>
      </c>
      <c r="X21" s="26" t="s">
        <v>26</v>
      </c>
      <c r="AA21" s="26" t="s">
        <v>26</v>
      </c>
      <c r="AB21" s="24" t="s">
        <v>65</v>
      </c>
      <c r="AC21" s="42">
        <f t="shared" si="8"/>
        <v>9.2254407773955389</v>
      </c>
      <c r="AD21" s="42">
        <f t="shared" si="9"/>
        <v>14.501576218334966</v>
      </c>
      <c r="AE21">
        <v>9.2254407773955396E-2</v>
      </c>
      <c r="AF21">
        <v>0.14501576218334966</v>
      </c>
    </row>
    <row r="22" spans="1:32" x14ac:dyDescent="0.3">
      <c r="A22" s="7" t="s">
        <v>25</v>
      </c>
      <c r="B22" s="22" t="s">
        <v>64</v>
      </c>
      <c r="C22" s="23" t="s">
        <v>13</v>
      </c>
      <c r="D22" s="24">
        <v>86542.436000000002</v>
      </c>
      <c r="E22" s="22">
        <v>113559.499</v>
      </c>
      <c r="F22" s="22">
        <v>103212.364</v>
      </c>
      <c r="G22" s="23">
        <v>120447.284</v>
      </c>
      <c r="H22" s="24">
        <v>645</v>
      </c>
      <c r="I22" s="22">
        <v>4580.6229999999996</v>
      </c>
      <c r="J22" s="22">
        <v>5797.335</v>
      </c>
      <c r="K22" s="22">
        <v>7549.8739999999998</v>
      </c>
      <c r="L22" s="22">
        <v>8170.4549999999999</v>
      </c>
      <c r="M22" s="22">
        <v>10568.813</v>
      </c>
      <c r="N22" s="22">
        <v>10548.511</v>
      </c>
      <c r="O22" s="23">
        <v>11507.927</v>
      </c>
      <c r="P22" s="25">
        <f t="shared" si="0"/>
        <v>0.98503743530432508</v>
      </c>
      <c r="Q22" s="25">
        <f t="shared" si="1"/>
        <v>7.4529910389857755E-3</v>
      </c>
      <c r="R22" s="25">
        <f t="shared" si="2"/>
        <v>4.0336766543853805E-2</v>
      </c>
      <c r="S22" s="25">
        <f t="shared" si="3"/>
        <v>5.616899734996865E-2</v>
      </c>
      <c r="T22" s="25">
        <f t="shared" si="4"/>
        <v>9.5543266878479388E-2</v>
      </c>
      <c r="U22" s="25">
        <f t="shared" si="5"/>
        <v>0.18715909146351706</v>
      </c>
      <c r="V22" s="25">
        <f t="shared" si="6"/>
        <v>4.3483154168769911E-2</v>
      </c>
      <c r="W22" s="25">
        <f t="shared" si="7"/>
        <v>0.14697444106910296</v>
      </c>
      <c r="X22" s="26" t="s">
        <v>25</v>
      </c>
      <c r="AA22" s="26" t="s">
        <v>25</v>
      </c>
      <c r="AB22" s="24" t="s">
        <v>64</v>
      </c>
      <c r="AC22" s="42">
        <f t="shared" si="8"/>
        <v>9.5543266878479383</v>
      </c>
      <c r="AD22" s="42">
        <f t="shared" si="9"/>
        <v>14.697444106910297</v>
      </c>
      <c r="AE22">
        <v>9.5543266878479388E-2</v>
      </c>
      <c r="AF22">
        <v>0.14697444106910296</v>
      </c>
    </row>
    <row r="23" spans="1:32" x14ac:dyDescent="0.3">
      <c r="A23" s="7" t="s">
        <v>24</v>
      </c>
      <c r="B23" s="22" t="s">
        <v>46</v>
      </c>
      <c r="C23" s="23" t="s">
        <v>13</v>
      </c>
      <c r="D23" s="24">
        <v>60944.017999999996</v>
      </c>
      <c r="E23" s="22">
        <v>69070.741999999998</v>
      </c>
      <c r="F23" s="22">
        <v>65425.470999999998</v>
      </c>
      <c r="G23" s="23">
        <v>74221.532999999996</v>
      </c>
      <c r="H23" s="24">
        <v>50.555999999999997</v>
      </c>
      <c r="I23" s="22">
        <v>1954.04</v>
      </c>
      <c r="J23" s="22">
        <v>3845.6750000000002</v>
      </c>
      <c r="K23" s="22">
        <v>4840.3209999999999</v>
      </c>
      <c r="L23" s="22">
        <v>5234.8379999999997</v>
      </c>
      <c r="M23" s="22">
        <v>6571.5110000000004</v>
      </c>
      <c r="N23" s="22">
        <v>6030.4290000000001</v>
      </c>
      <c r="O23" s="23">
        <v>7477.3630000000003</v>
      </c>
      <c r="P23" s="25">
        <f t="shared" si="0"/>
        <v>0.94435645237832111</v>
      </c>
      <c r="Q23" s="25">
        <f t="shared" si="1"/>
        <v>8.2954819290057317E-4</v>
      </c>
      <c r="R23" s="25">
        <f t="shared" si="2"/>
        <v>2.8290415643717856E-2</v>
      </c>
      <c r="S23" s="25">
        <f t="shared" si="3"/>
        <v>5.8779477491266365E-2</v>
      </c>
      <c r="T23" s="25">
        <f t="shared" si="4"/>
        <v>0.1007438501708123</v>
      </c>
      <c r="U23" s="25">
        <f t="shared" si="5"/>
        <v>0.16671648347206625</v>
      </c>
      <c r="V23" s="25">
        <f t="shared" si="6"/>
        <v>6.6698323997256503E-2</v>
      </c>
      <c r="W23" s="25">
        <f t="shared" si="7"/>
        <v>0.14223424669933604</v>
      </c>
      <c r="X23" s="26" t="s">
        <v>24</v>
      </c>
      <c r="AA23" s="26" t="s">
        <v>24</v>
      </c>
      <c r="AB23" s="24" t="s">
        <v>46</v>
      </c>
      <c r="AC23" s="42">
        <f t="shared" si="8"/>
        <v>10.07438501708123</v>
      </c>
      <c r="AD23" s="42">
        <f t="shared" si="9"/>
        <v>14.223424669933603</v>
      </c>
      <c r="AE23">
        <v>0.1007438501708123</v>
      </c>
      <c r="AF23">
        <v>0.14223424669933604</v>
      </c>
    </row>
    <row r="24" spans="1:32" x14ac:dyDescent="0.3">
      <c r="A24" s="7" t="s">
        <v>27</v>
      </c>
      <c r="B24" s="22" t="s">
        <v>47</v>
      </c>
      <c r="C24" s="23" t="s">
        <v>13</v>
      </c>
      <c r="D24" s="24">
        <v>84514</v>
      </c>
      <c r="E24" s="22">
        <v>91151.017000000007</v>
      </c>
      <c r="F24" s="22">
        <v>72219.100000000006</v>
      </c>
      <c r="G24" s="23">
        <v>93310.2</v>
      </c>
      <c r="H24" s="24">
        <v>13</v>
      </c>
      <c r="I24" s="22">
        <v>996</v>
      </c>
      <c r="J24" s="22">
        <v>4615.3</v>
      </c>
      <c r="K24" s="22">
        <v>5574</v>
      </c>
      <c r="L24" s="22">
        <v>5437.7</v>
      </c>
      <c r="M24" s="22">
        <v>6513.7</v>
      </c>
      <c r="N24" s="22">
        <v>7464.7</v>
      </c>
      <c r="O24" s="23">
        <v>9725.6</v>
      </c>
      <c r="P24" s="25">
        <f t="shared" si="0"/>
        <v>1.1072519662860485</v>
      </c>
      <c r="Q24" s="25">
        <f t="shared" si="1"/>
        <v>1.5382066876493835E-4</v>
      </c>
      <c r="R24" s="25">
        <f t="shared" si="2"/>
        <v>1.0926921418770346E-2</v>
      </c>
      <c r="S24" s="25">
        <f t="shared" si="3"/>
        <v>6.3906916591317253E-2</v>
      </c>
      <c r="T24" s="25">
        <f t="shared" si="4"/>
        <v>0.10422869096840431</v>
      </c>
      <c r="U24" s="25">
        <f t="shared" si="5"/>
        <v>8.5444578724364728E-2</v>
      </c>
      <c r="V24" s="25">
        <f t="shared" si="6"/>
        <v>0.22192436763963097</v>
      </c>
      <c r="W24" s="25">
        <f t="shared" si="7"/>
        <v>0.16076229784246387</v>
      </c>
      <c r="X24" s="26" t="s">
        <v>27</v>
      </c>
      <c r="AA24" s="26" t="s">
        <v>27</v>
      </c>
      <c r="AB24" s="24" t="s">
        <v>47</v>
      </c>
      <c r="AC24" s="42">
        <f t="shared" si="8"/>
        <v>10.422869096840431</v>
      </c>
      <c r="AD24" s="42">
        <f t="shared" si="9"/>
        <v>16.076229784246387</v>
      </c>
      <c r="AE24">
        <v>0.10422869096840431</v>
      </c>
      <c r="AF24">
        <v>0.16076229784246387</v>
      </c>
    </row>
    <row r="25" spans="1:32" x14ac:dyDescent="0.3">
      <c r="A25" s="7" t="s">
        <v>18</v>
      </c>
      <c r="B25" s="22" t="s">
        <v>67</v>
      </c>
      <c r="C25" s="23" t="s">
        <v>11</v>
      </c>
      <c r="D25" s="24">
        <v>50464</v>
      </c>
      <c r="E25" s="22">
        <v>58014.148999999998</v>
      </c>
      <c r="F25" s="22">
        <v>65674.622000000003</v>
      </c>
      <c r="G25" s="23">
        <v>59622.805</v>
      </c>
      <c r="H25" s="24">
        <v>0</v>
      </c>
      <c r="I25" s="22">
        <v>9.0690000000000008</v>
      </c>
      <c r="J25" s="22">
        <v>6200.91</v>
      </c>
      <c r="K25" s="22">
        <v>7062.93</v>
      </c>
      <c r="L25" s="22">
        <v>6590</v>
      </c>
      <c r="M25" s="22">
        <v>7406.7020000000002</v>
      </c>
      <c r="N25" s="22">
        <v>6322.2190000000001</v>
      </c>
      <c r="O25" s="23">
        <v>6772.8090000000002</v>
      </c>
      <c r="P25" s="25">
        <f t="shared" si="0"/>
        <v>9.2228237468371638E-2</v>
      </c>
      <c r="Q25" s="25">
        <f t="shared" si="1"/>
        <v>0</v>
      </c>
      <c r="R25" s="25">
        <f t="shared" si="2"/>
        <v>1.5632393401133923E-4</v>
      </c>
      <c r="S25" s="25">
        <f t="shared" si="3"/>
        <v>9.4418662965429778E-2</v>
      </c>
      <c r="T25" s="25">
        <f t="shared" si="4"/>
        <v>0.11359426984356071</v>
      </c>
      <c r="U25" s="25">
        <f t="shared" si="5"/>
        <v>3.0896329383838017E-2</v>
      </c>
      <c r="V25" s="25">
        <f t="shared" si="6"/>
        <v>-4.3748832751687616E-2</v>
      </c>
      <c r="W25" s="25">
        <f t="shared" si="7"/>
        <v>1.7800547228691066E-2</v>
      </c>
      <c r="X25" s="26" t="s">
        <v>18</v>
      </c>
      <c r="AA25" s="26" t="s">
        <v>18</v>
      </c>
      <c r="AB25" s="24" t="s">
        <v>67</v>
      </c>
      <c r="AC25" s="42">
        <f t="shared" si="8"/>
        <v>11.359426984356071</v>
      </c>
      <c r="AD25" s="42">
        <f t="shared" si="9"/>
        <v>1.7800547228691066</v>
      </c>
      <c r="AE25">
        <v>0.11359426984356071</v>
      </c>
      <c r="AF25">
        <v>1.7800547228691066E-2</v>
      </c>
    </row>
    <row r="26" spans="1:32" x14ac:dyDescent="0.3">
      <c r="A26" s="7" t="s">
        <v>22</v>
      </c>
      <c r="B26" s="22" t="s">
        <v>50</v>
      </c>
      <c r="C26" s="23" t="s">
        <v>11</v>
      </c>
      <c r="D26" s="24">
        <v>12979.4</v>
      </c>
      <c r="E26" s="22">
        <v>13454.661</v>
      </c>
      <c r="F26" s="22">
        <v>13552.842000000001</v>
      </c>
      <c r="G26" s="23">
        <v>12760.3</v>
      </c>
      <c r="H26" s="24">
        <v>0</v>
      </c>
      <c r="I26" s="22">
        <v>54.2</v>
      </c>
      <c r="J26" s="22">
        <v>729.97</v>
      </c>
      <c r="K26" s="22">
        <v>796.29499999999996</v>
      </c>
      <c r="L26" s="22">
        <v>1014.248</v>
      </c>
      <c r="M26" s="22">
        <v>1204</v>
      </c>
      <c r="N26" s="22">
        <v>1335.4</v>
      </c>
      <c r="O26" s="23">
        <v>1467.3</v>
      </c>
      <c r="P26" s="25">
        <f t="shared" si="0"/>
        <v>1.0100826061344985</v>
      </c>
      <c r="Q26" s="25">
        <f t="shared" si="1"/>
        <v>0</v>
      </c>
      <c r="R26" s="25">
        <f t="shared" si="2"/>
        <v>4.0283437836152102E-3</v>
      </c>
      <c r="S26" s="25">
        <f t="shared" si="3"/>
        <v>5.3861027819847675E-2</v>
      </c>
      <c r="T26" s="25">
        <f t="shared" si="4"/>
        <v>0.11498945949546641</v>
      </c>
      <c r="U26" s="25">
        <f t="shared" si="5"/>
        <v>0.17874421402880625</v>
      </c>
      <c r="V26" s="25">
        <f t="shared" si="6"/>
        <v>0.10394189504755902</v>
      </c>
      <c r="W26" s="25">
        <f t="shared" si="7"/>
        <v>0.14985421383539332</v>
      </c>
      <c r="X26" s="26" t="s">
        <v>22</v>
      </c>
      <c r="AA26" s="26" t="s">
        <v>22</v>
      </c>
      <c r="AB26" s="24" t="s">
        <v>50</v>
      </c>
      <c r="AC26" s="42">
        <f t="shared" si="8"/>
        <v>11.498945949546641</v>
      </c>
      <c r="AD26" s="42">
        <f t="shared" si="9"/>
        <v>14.985421383539332</v>
      </c>
      <c r="AE26">
        <v>0.11498945949546641</v>
      </c>
      <c r="AF26">
        <v>0.14985421383539332</v>
      </c>
    </row>
    <row r="27" spans="1:32" x14ac:dyDescent="0.3">
      <c r="A27" s="7" t="s">
        <v>19</v>
      </c>
      <c r="B27" s="22" t="s">
        <v>70</v>
      </c>
      <c r="C27" s="23" t="s">
        <v>11</v>
      </c>
      <c r="D27" s="24">
        <v>154860.31599999999</v>
      </c>
      <c r="E27" s="22">
        <v>136734.68400000001</v>
      </c>
      <c r="F27" s="22">
        <v>153662.42600000001</v>
      </c>
      <c r="G27" s="23">
        <v>168439</v>
      </c>
      <c r="H27" s="24">
        <v>358</v>
      </c>
      <c r="I27" s="22">
        <v>2491</v>
      </c>
      <c r="J27" s="22">
        <v>11235</v>
      </c>
      <c r="K27" s="22">
        <v>16322</v>
      </c>
      <c r="L27" s="22">
        <v>15479</v>
      </c>
      <c r="M27" s="22">
        <v>17609</v>
      </c>
      <c r="N27" s="22">
        <v>16623</v>
      </c>
      <c r="O27" s="23">
        <v>19847</v>
      </c>
      <c r="P27" s="25">
        <f t="shared" si="0"/>
        <v>0.7665331553182021</v>
      </c>
      <c r="Q27" s="25">
        <f t="shared" si="1"/>
        <v>2.3117607483120468E-3</v>
      </c>
      <c r="R27" s="25">
        <f t="shared" si="2"/>
        <v>1.8217762510059261E-2</v>
      </c>
      <c r="S27" s="25">
        <f t="shared" si="3"/>
        <v>7.3114815979802378E-2</v>
      </c>
      <c r="T27" s="25">
        <f t="shared" si="4"/>
        <v>0.11782900634651119</v>
      </c>
      <c r="U27" s="25">
        <f t="shared" si="5"/>
        <v>0.17377515248416731</v>
      </c>
      <c r="V27" s="25">
        <f t="shared" si="6"/>
        <v>6.1646880845111829E-2</v>
      </c>
      <c r="W27" s="25">
        <f t="shared" si="7"/>
        <v>0.12053224515489358</v>
      </c>
      <c r="X27" s="26" t="s">
        <v>19</v>
      </c>
      <c r="AA27" s="26" t="s">
        <v>19</v>
      </c>
      <c r="AB27" s="24" t="s">
        <v>70</v>
      </c>
      <c r="AC27" s="42">
        <f t="shared" si="8"/>
        <v>11.782900634651119</v>
      </c>
      <c r="AD27" s="42">
        <f t="shared" si="9"/>
        <v>12.053224515489358</v>
      </c>
      <c r="AE27">
        <v>0.11782900634651119</v>
      </c>
      <c r="AF27">
        <v>0.12053224515489358</v>
      </c>
    </row>
    <row r="28" spans="1:32" x14ac:dyDescent="0.3">
      <c r="A28" s="7" t="s">
        <v>20</v>
      </c>
      <c r="B28" s="22" t="s">
        <v>62</v>
      </c>
      <c r="C28" s="23" t="s">
        <v>13</v>
      </c>
      <c r="D28" s="24">
        <v>1022.008</v>
      </c>
      <c r="E28" s="22">
        <v>3878.3789999999999</v>
      </c>
      <c r="F28" s="22">
        <v>2964.9810000000002</v>
      </c>
      <c r="G28" s="23">
        <v>1907.971</v>
      </c>
      <c r="H28" s="24">
        <v>18</v>
      </c>
      <c r="I28" s="22">
        <v>63.472000000000001</v>
      </c>
      <c r="J28" s="22">
        <v>79.876000000000005</v>
      </c>
      <c r="K28" s="22">
        <v>101.848</v>
      </c>
      <c r="L28" s="22">
        <v>101.486</v>
      </c>
      <c r="M28" s="22">
        <v>234.82300000000001</v>
      </c>
      <c r="N28" s="22">
        <v>254.57499999999999</v>
      </c>
      <c r="O28" s="23">
        <v>281.28300000000002</v>
      </c>
      <c r="P28" s="25">
        <f t="shared" si="0"/>
        <v>2.5214958185187042</v>
      </c>
      <c r="Q28" s="25">
        <f t="shared" si="1"/>
        <v>1.7612386595799639E-2</v>
      </c>
      <c r="R28" s="25">
        <f t="shared" si="2"/>
        <v>1.6365600164398579E-2</v>
      </c>
      <c r="S28" s="25">
        <f t="shared" si="3"/>
        <v>2.6939801637851979E-2</v>
      </c>
      <c r="T28" s="25">
        <f t="shared" si="4"/>
        <v>0.14742519671420584</v>
      </c>
      <c r="U28" s="25">
        <f t="shared" si="5"/>
        <v>0.12718425456213045</v>
      </c>
      <c r="V28" s="25">
        <f t="shared" si="6"/>
        <v>9.4463863021525984E-2</v>
      </c>
      <c r="W28" s="25">
        <f t="shared" si="7"/>
        <v>0.28630937646017651</v>
      </c>
      <c r="X28" s="26" t="s">
        <v>20</v>
      </c>
      <c r="AA28" s="26" t="s">
        <v>20</v>
      </c>
      <c r="AB28" s="24" t="s">
        <v>62</v>
      </c>
      <c r="AC28" s="42">
        <f t="shared" si="8"/>
        <v>14.742519671420585</v>
      </c>
      <c r="AD28" s="42">
        <f t="shared" si="9"/>
        <v>28.630937646017649</v>
      </c>
      <c r="AE28">
        <v>0.14742519671420584</v>
      </c>
      <c r="AF28">
        <v>0.28630937646017651</v>
      </c>
    </row>
    <row r="29" spans="1:32" x14ac:dyDescent="0.3">
      <c r="A29" s="7" t="s">
        <v>23</v>
      </c>
      <c r="B29" s="22" t="s">
        <v>56</v>
      </c>
      <c r="C29" s="23" t="s">
        <v>13</v>
      </c>
      <c r="D29" s="24">
        <v>49632</v>
      </c>
      <c r="E29" s="22">
        <v>61365.029000000002</v>
      </c>
      <c r="F29" s="22">
        <v>50473.29</v>
      </c>
      <c r="G29" s="23">
        <v>45477.311999999998</v>
      </c>
      <c r="H29" s="24">
        <v>162</v>
      </c>
      <c r="I29" s="22">
        <v>2543</v>
      </c>
      <c r="J29" s="22">
        <v>3688.5749999999998</v>
      </c>
      <c r="K29" s="22">
        <v>4621.0190000000002</v>
      </c>
      <c r="L29" s="22">
        <v>5145.8959999999997</v>
      </c>
      <c r="M29" s="22">
        <v>5536.9870000000001</v>
      </c>
      <c r="N29" s="22">
        <v>6300.259</v>
      </c>
      <c r="O29" s="23">
        <v>7266.3469999999998</v>
      </c>
      <c r="P29" s="25">
        <f t="shared" si="0"/>
        <v>0.96996048609557894</v>
      </c>
      <c r="Q29" s="25">
        <f t="shared" si="1"/>
        <v>3.2640232108317214E-3</v>
      </c>
      <c r="R29" s="25">
        <f t="shared" si="2"/>
        <v>4.1440540996077746E-2</v>
      </c>
      <c r="S29" s="25">
        <f t="shared" si="3"/>
        <v>7.3079741780256446E-2</v>
      </c>
      <c r="T29" s="25">
        <f t="shared" si="4"/>
        <v>0.15977960614734663</v>
      </c>
      <c r="U29" s="25">
        <f t="shared" si="5"/>
        <v>0.18113949895224923</v>
      </c>
      <c r="V29" s="25">
        <f t="shared" si="6"/>
        <v>0.14556916366335471</v>
      </c>
      <c r="W29" s="25">
        <f t="shared" si="7"/>
        <v>0.14522680109025576</v>
      </c>
      <c r="X29" s="26" t="s">
        <v>23</v>
      </c>
      <c r="AA29" s="26" t="s">
        <v>23</v>
      </c>
      <c r="AB29" s="24" t="s">
        <v>56</v>
      </c>
      <c r="AC29" s="42">
        <f t="shared" si="8"/>
        <v>15.977960614734663</v>
      </c>
      <c r="AD29" s="42">
        <f t="shared" si="9"/>
        <v>14.522680109025575</v>
      </c>
      <c r="AE29">
        <v>0.15977960614734663</v>
      </c>
      <c r="AF29">
        <v>0.14522680109025576</v>
      </c>
    </row>
    <row r="30" spans="1:32" x14ac:dyDescent="0.3">
      <c r="A30" s="7" t="s">
        <v>16</v>
      </c>
      <c r="B30" s="22" t="s">
        <v>52</v>
      </c>
      <c r="C30" s="23" t="s">
        <v>13</v>
      </c>
      <c r="D30" s="24">
        <v>208247</v>
      </c>
      <c r="E30" s="22">
        <v>294279</v>
      </c>
      <c r="F30" s="22">
        <v>278749.28200000001</v>
      </c>
      <c r="G30" s="23">
        <v>273118</v>
      </c>
      <c r="H30" s="24">
        <v>2744</v>
      </c>
      <c r="I30" s="22">
        <v>38117</v>
      </c>
      <c r="J30" s="22">
        <v>52013</v>
      </c>
      <c r="K30" s="22">
        <v>49325</v>
      </c>
      <c r="L30" s="22">
        <v>48905</v>
      </c>
      <c r="M30" s="22">
        <v>49127</v>
      </c>
      <c r="N30" s="22">
        <v>50896</v>
      </c>
      <c r="O30" s="23">
        <v>55647</v>
      </c>
      <c r="P30" s="25">
        <f t="shared" si="0"/>
        <v>6.9867148597466025E-2</v>
      </c>
      <c r="Q30" s="25">
        <f t="shared" si="1"/>
        <v>1.3176660408073106E-2</v>
      </c>
      <c r="R30" s="25">
        <f t="shared" si="2"/>
        <v>0.12952674162954203</v>
      </c>
      <c r="S30" s="25">
        <f t="shared" si="3"/>
        <v>0.18659420259959628</v>
      </c>
      <c r="T30" s="25">
        <f t="shared" si="4"/>
        <v>0.20374709832380145</v>
      </c>
      <c r="U30" s="25">
        <f t="shared" si="5"/>
        <v>-3.033732267152911E-2</v>
      </c>
      <c r="V30" s="25">
        <f t="shared" si="6"/>
        <v>6.4291897490484251E-2</v>
      </c>
      <c r="W30" s="25">
        <f t="shared" si="7"/>
        <v>1.3598526318311821E-2</v>
      </c>
      <c r="X30" s="26" t="s">
        <v>16</v>
      </c>
      <c r="AA30" s="26" t="s">
        <v>16</v>
      </c>
      <c r="AB30" s="24" t="s">
        <v>52</v>
      </c>
      <c r="AC30" s="42">
        <f t="shared" si="8"/>
        <v>20.374709832380145</v>
      </c>
      <c r="AD30" s="42">
        <f t="shared" si="9"/>
        <v>1.3598526318311821</v>
      </c>
      <c r="AE30">
        <v>0.20374709832380145</v>
      </c>
      <c r="AF30">
        <v>1.3598526318311821E-2</v>
      </c>
    </row>
    <row r="31" spans="1:32" x14ac:dyDescent="0.3">
      <c r="A31" s="7" t="s">
        <v>17</v>
      </c>
      <c r="B31" s="22" t="s">
        <v>45</v>
      </c>
      <c r="C31" s="23" t="s">
        <v>13</v>
      </c>
      <c r="D31" s="24">
        <v>556300</v>
      </c>
      <c r="E31" s="22">
        <v>594585</v>
      </c>
      <c r="F31" s="22">
        <v>625783</v>
      </c>
      <c r="G31" s="23">
        <v>607578</v>
      </c>
      <c r="H31" s="24">
        <v>5528</v>
      </c>
      <c r="I31" s="22">
        <v>39420</v>
      </c>
      <c r="J31" s="22">
        <v>58497</v>
      </c>
      <c r="K31" s="22">
        <v>80624</v>
      </c>
      <c r="L31" s="22">
        <v>79924</v>
      </c>
      <c r="M31" s="22">
        <v>105693</v>
      </c>
      <c r="N31" s="22">
        <v>109951</v>
      </c>
      <c r="O31" s="23">
        <v>125894</v>
      </c>
      <c r="P31" s="25">
        <f t="shared" si="0"/>
        <v>1.1521445544215942</v>
      </c>
      <c r="Q31" s="25">
        <f t="shared" si="1"/>
        <v>9.9370843070285819E-3</v>
      </c>
      <c r="R31" s="25">
        <f t="shared" si="2"/>
        <v>6.6298342541436461E-2</v>
      </c>
      <c r="S31" s="25">
        <f t="shared" si="3"/>
        <v>9.3478090648036138E-2</v>
      </c>
      <c r="T31" s="25">
        <f t="shared" si="4"/>
        <v>0.20720631754276816</v>
      </c>
      <c r="U31" s="25">
        <f t="shared" si="5"/>
        <v>0.1688850621397413</v>
      </c>
      <c r="V31" s="25">
        <f t="shared" si="6"/>
        <v>9.1388576368623964E-2</v>
      </c>
      <c r="W31" s="25">
        <f t="shared" si="7"/>
        <v>0.16566642539862286</v>
      </c>
      <c r="X31" s="26" t="s">
        <v>17</v>
      </c>
      <c r="AA31" s="26" t="s">
        <v>17</v>
      </c>
      <c r="AB31" s="24" t="s">
        <v>45</v>
      </c>
      <c r="AC31" s="42">
        <f t="shared" si="8"/>
        <v>20.720631754276816</v>
      </c>
      <c r="AD31" s="42">
        <f t="shared" si="9"/>
        <v>16.566642539862286</v>
      </c>
      <c r="AE31">
        <v>0.20720631754276816</v>
      </c>
      <c r="AF31">
        <v>0.16566642539862286</v>
      </c>
    </row>
    <row r="32" spans="1:32" x14ac:dyDescent="0.3">
      <c r="A32" s="7" t="s">
        <v>15</v>
      </c>
      <c r="B32" s="22" t="s">
        <v>66</v>
      </c>
      <c r="C32" s="23" t="s">
        <v>13</v>
      </c>
      <c r="D32" s="24">
        <v>43287</v>
      </c>
      <c r="E32" s="22">
        <v>50207.048000000003</v>
      </c>
      <c r="F32" s="22">
        <v>52796.506999999998</v>
      </c>
      <c r="G32" s="23">
        <v>53154.17</v>
      </c>
      <c r="H32" s="24">
        <v>123</v>
      </c>
      <c r="I32" s="22">
        <v>7576.9629999999997</v>
      </c>
      <c r="J32" s="22">
        <v>12111.395</v>
      </c>
      <c r="K32" s="22">
        <v>11607.638000000001</v>
      </c>
      <c r="L32" s="22">
        <v>12474.096</v>
      </c>
      <c r="M32" s="22">
        <v>12247.852999999999</v>
      </c>
      <c r="N32" s="22">
        <v>12616.584000000001</v>
      </c>
      <c r="O32" s="23">
        <v>13666.949000000001</v>
      </c>
      <c r="P32" s="25">
        <f t="shared" si="0"/>
        <v>0.12843722791635481</v>
      </c>
      <c r="Q32" s="25">
        <f t="shared" si="1"/>
        <v>2.8414997574329475E-3</v>
      </c>
      <c r="R32" s="25">
        <f t="shared" si="2"/>
        <v>0.15091432979688429</v>
      </c>
      <c r="S32" s="25">
        <f t="shared" si="3"/>
        <v>0.22939765693211486</v>
      </c>
      <c r="T32" s="25">
        <f t="shared" si="4"/>
        <v>0.25711903694479665</v>
      </c>
      <c r="U32" s="25">
        <f t="shared" si="5"/>
        <v>1.486308782028134E-2</v>
      </c>
      <c r="V32" s="25">
        <f t="shared" si="6"/>
        <v>5.6345056561526441E-2</v>
      </c>
      <c r="W32" s="25">
        <f t="shared" si="7"/>
        <v>2.4461120530439695E-2</v>
      </c>
      <c r="X32" s="26" t="s">
        <v>15</v>
      </c>
      <c r="AA32" s="26" t="s">
        <v>15</v>
      </c>
      <c r="AB32" s="24" t="s">
        <v>66</v>
      </c>
      <c r="AC32" s="42">
        <f t="shared" si="8"/>
        <v>25.711903694479666</v>
      </c>
      <c r="AD32" s="42">
        <f t="shared" si="9"/>
        <v>2.4461120530439695</v>
      </c>
      <c r="AE32">
        <v>0.25711903694479665</v>
      </c>
      <c r="AF32">
        <v>2.4461120530439695E-2</v>
      </c>
    </row>
    <row r="33" spans="1:32" x14ac:dyDescent="0.3">
      <c r="A33" s="7" t="s">
        <v>14</v>
      </c>
      <c r="B33" s="22" t="s">
        <v>58</v>
      </c>
      <c r="C33" s="23" t="s">
        <v>13</v>
      </c>
      <c r="D33" s="24">
        <v>22010</v>
      </c>
      <c r="E33" s="22">
        <v>28322.226999999999</v>
      </c>
      <c r="F33" s="22">
        <v>26087.075000000001</v>
      </c>
      <c r="G33" s="23">
        <v>30940.936000000002</v>
      </c>
      <c r="H33" s="24">
        <v>187</v>
      </c>
      <c r="I33" s="22">
        <v>2955.2170000000001</v>
      </c>
      <c r="J33" s="22">
        <v>5140.0609999999997</v>
      </c>
      <c r="K33" s="22">
        <v>6572.9979999999996</v>
      </c>
      <c r="L33" s="22">
        <v>6147.0429999999997</v>
      </c>
      <c r="M33" s="22">
        <v>7444.0370000000003</v>
      </c>
      <c r="N33" s="22">
        <v>8639.7669999999998</v>
      </c>
      <c r="O33" s="23">
        <v>10019.485000000001</v>
      </c>
      <c r="P33" s="25">
        <f t="shared" si="0"/>
        <v>0.94929301422687418</v>
      </c>
      <c r="Q33" s="25">
        <f t="shared" si="1"/>
        <v>8.4961381190368016E-3</v>
      </c>
      <c r="R33" s="25">
        <f t="shared" si="2"/>
        <v>0.10434267757263581</v>
      </c>
      <c r="S33" s="25">
        <f t="shared" si="3"/>
        <v>0.19703477680038869</v>
      </c>
      <c r="T33" s="25">
        <f t="shared" si="4"/>
        <v>0.32382617642853467</v>
      </c>
      <c r="U33" s="25">
        <f t="shared" si="5"/>
        <v>9.3576046718590211E-2</v>
      </c>
      <c r="V33" s="25">
        <f t="shared" si="6"/>
        <v>0.16016147029160144</v>
      </c>
      <c r="W33" s="25">
        <f t="shared" si="7"/>
        <v>0.14281366640565896</v>
      </c>
      <c r="X33" s="26" t="s">
        <v>14</v>
      </c>
      <c r="AA33" s="26" t="s">
        <v>14</v>
      </c>
      <c r="AB33" s="24" t="s">
        <v>58</v>
      </c>
      <c r="AC33" s="42">
        <f t="shared" si="8"/>
        <v>32.382617642853468</v>
      </c>
      <c r="AD33" s="42">
        <f t="shared" si="9"/>
        <v>14.281366640565896</v>
      </c>
      <c r="AE33">
        <v>0.32382617642853467</v>
      </c>
      <c r="AF33">
        <v>0.14281366640565896</v>
      </c>
    </row>
    <row r="34" spans="1:32" x14ac:dyDescent="0.3">
      <c r="A34" s="7" t="s">
        <v>12</v>
      </c>
      <c r="B34" s="22" t="s">
        <v>61</v>
      </c>
      <c r="C34" s="23" t="s">
        <v>13</v>
      </c>
      <c r="D34" s="24">
        <v>13476</v>
      </c>
      <c r="E34" s="22">
        <v>15087</v>
      </c>
      <c r="F34" s="22">
        <v>4154</v>
      </c>
      <c r="G34" s="23">
        <v>3748.6</v>
      </c>
      <c r="H34" s="24">
        <v>0</v>
      </c>
      <c r="I34" s="22">
        <v>158</v>
      </c>
      <c r="J34" s="22">
        <v>639</v>
      </c>
      <c r="K34" s="22">
        <v>810</v>
      </c>
      <c r="L34" s="22">
        <v>1136</v>
      </c>
      <c r="M34" s="22">
        <v>1363.8</v>
      </c>
      <c r="N34" s="22">
        <v>1144</v>
      </c>
      <c r="O34" s="23">
        <v>1499.4</v>
      </c>
      <c r="P34" s="25">
        <f t="shared" si="0"/>
        <v>1.3464788732394368</v>
      </c>
      <c r="Q34" s="25">
        <f t="shared" si="1"/>
        <v>0</v>
      </c>
      <c r="R34" s="25">
        <f t="shared" si="2"/>
        <v>1.0472592298004905E-2</v>
      </c>
      <c r="S34" s="25">
        <f t="shared" si="3"/>
        <v>0.15382763601348098</v>
      </c>
      <c r="T34" s="25">
        <f t="shared" si="4"/>
        <v>0.39998932934962389</v>
      </c>
      <c r="U34" s="25">
        <f t="shared" si="5"/>
        <v>0.33333333333333326</v>
      </c>
      <c r="V34" s="25">
        <f t="shared" si="6"/>
        <v>4.8536155138087844E-2</v>
      </c>
      <c r="W34" s="25">
        <f t="shared" si="7"/>
        <v>0.18599628778163324</v>
      </c>
      <c r="X34" s="26" t="s">
        <v>12</v>
      </c>
      <c r="AA34" s="26" t="s">
        <v>12</v>
      </c>
      <c r="AB34" s="24" t="s">
        <v>61</v>
      </c>
      <c r="AC34" s="42">
        <f t="shared" si="8"/>
        <v>39.99893293496239</v>
      </c>
      <c r="AD34" s="42">
        <f t="shared" si="9"/>
        <v>18.599628778163325</v>
      </c>
      <c r="AE34">
        <v>0.39998932934962389</v>
      </c>
      <c r="AF34">
        <v>0.18599628778163324</v>
      </c>
    </row>
    <row r="35" spans="1:32" x14ac:dyDescent="0.3">
      <c r="A35" s="8" t="s">
        <v>10</v>
      </c>
      <c r="B35" s="28" t="s">
        <v>51</v>
      </c>
      <c r="C35" s="29" t="s">
        <v>11</v>
      </c>
      <c r="D35" s="30">
        <v>38882</v>
      </c>
      <c r="E35" s="28">
        <v>36383</v>
      </c>
      <c r="F35" s="28">
        <v>32183.62</v>
      </c>
      <c r="G35" s="29">
        <v>29525.764999999999</v>
      </c>
      <c r="H35" s="30">
        <v>3029</v>
      </c>
      <c r="I35" s="28">
        <v>6721</v>
      </c>
      <c r="J35" s="28">
        <v>13078.504000000001</v>
      </c>
      <c r="K35" s="28">
        <v>14133.092000000001</v>
      </c>
      <c r="L35" s="28">
        <v>12781.731</v>
      </c>
      <c r="M35" s="28">
        <v>14780</v>
      </c>
      <c r="N35" s="28">
        <v>13901.955</v>
      </c>
      <c r="O35" s="29">
        <v>16149.833000000001</v>
      </c>
      <c r="P35" s="25">
        <f t="shared" si="0"/>
        <v>0.23483794476799483</v>
      </c>
      <c r="Q35" s="25">
        <f t="shared" si="1"/>
        <v>7.790237127719768E-2</v>
      </c>
      <c r="R35" s="25">
        <f t="shared" si="2"/>
        <v>0.18472913173734987</v>
      </c>
      <c r="S35" s="25">
        <f t="shared" si="3"/>
        <v>0.40637143988152985</v>
      </c>
      <c r="T35" s="25">
        <f t="shared" si="4"/>
        <v>0.54697424435912168</v>
      </c>
      <c r="U35" s="25">
        <f t="shared" si="5"/>
        <v>-1.1410936027423935E-2</v>
      </c>
      <c r="V35" s="25">
        <f t="shared" si="6"/>
        <v>4.5314081553180507E-2</v>
      </c>
      <c r="W35" s="25">
        <f t="shared" si="7"/>
        <v>4.3090507657891131E-2</v>
      </c>
      <c r="X35" s="31" t="s">
        <v>10</v>
      </c>
      <c r="AA35" s="31" t="s">
        <v>10</v>
      </c>
      <c r="AB35" s="30" t="s">
        <v>51</v>
      </c>
      <c r="AC35" s="42">
        <f t="shared" si="8"/>
        <v>54.697424435912168</v>
      </c>
      <c r="AD35" s="42">
        <f t="shared" si="9"/>
        <v>4.3090507657891131</v>
      </c>
      <c r="AE35">
        <v>0.54697424435912168</v>
      </c>
      <c r="AF35">
        <v>4.3090507657891131E-2</v>
      </c>
    </row>
    <row r="36" spans="1:32" x14ac:dyDescent="0.3">
      <c r="A36" s="6"/>
      <c r="B36" s="6"/>
      <c r="C36" s="2"/>
      <c r="P36" s="3"/>
      <c r="U36" s="37"/>
      <c r="W36" s="4"/>
      <c r="AA36" s="5"/>
    </row>
    <row r="37" spans="1:32" x14ac:dyDescent="0.3">
      <c r="A37" s="39" t="s">
        <v>40</v>
      </c>
      <c r="B37" s="40"/>
      <c r="C37" s="36">
        <f>COUNTIF(C9:C35,"oui")</f>
        <v>19</v>
      </c>
      <c r="P37" s="3"/>
      <c r="W37" s="4"/>
      <c r="AA37" s="5"/>
    </row>
    <row r="38" spans="1:32" x14ac:dyDescent="0.3">
      <c r="C38" s="2"/>
      <c r="P38" s="3"/>
    </row>
    <row r="39" spans="1:32" ht="57.6" x14ac:dyDescent="0.3">
      <c r="C39"/>
      <c r="D39" s="15" t="s">
        <v>41</v>
      </c>
      <c r="E39" s="16" t="s">
        <v>42</v>
      </c>
      <c r="F39" s="16" t="s">
        <v>86</v>
      </c>
      <c r="G39" s="17" t="s">
        <v>43</v>
      </c>
      <c r="H39" s="12" t="s">
        <v>72</v>
      </c>
      <c r="I39" s="13" t="s">
        <v>73</v>
      </c>
      <c r="J39" s="13" t="s">
        <v>74</v>
      </c>
      <c r="K39" s="13" t="s">
        <v>75</v>
      </c>
      <c r="L39" s="13" t="s">
        <v>76</v>
      </c>
      <c r="M39" s="13" t="s">
        <v>77</v>
      </c>
      <c r="N39" s="13" t="s">
        <v>78</v>
      </c>
      <c r="O39" s="14" t="s">
        <v>79</v>
      </c>
      <c r="P39" s="10" t="s">
        <v>80</v>
      </c>
      <c r="Q39" s="11" t="s">
        <v>81</v>
      </c>
      <c r="R39" s="11" t="s">
        <v>82</v>
      </c>
      <c r="S39" s="11" t="s">
        <v>87</v>
      </c>
      <c r="T39" s="11" t="s">
        <v>85</v>
      </c>
      <c r="U39" s="11" t="s">
        <v>88</v>
      </c>
      <c r="V39" s="11" t="s">
        <v>89</v>
      </c>
      <c r="W39" s="11" t="s">
        <v>90</v>
      </c>
      <c r="X39" s="21" t="s">
        <v>83</v>
      </c>
    </row>
    <row r="40" spans="1:32" x14ac:dyDescent="0.3">
      <c r="C40" s="32" t="s">
        <v>84</v>
      </c>
      <c r="D40" s="24">
        <f>SUM(D9:D35)</f>
        <v>2585374.9949999996</v>
      </c>
      <c r="E40" s="24">
        <f t="shared" ref="E40:O40" si="10">SUM(E9:E35)</f>
        <v>2842566.1420000005</v>
      </c>
      <c r="F40" s="24">
        <f t="shared" si="10"/>
        <v>2856603.875</v>
      </c>
      <c r="G40" s="24">
        <f t="shared" si="10"/>
        <v>2900863.4870000002</v>
      </c>
      <c r="H40" s="24">
        <f t="shared" si="10"/>
        <v>13352.635</v>
      </c>
      <c r="I40" s="24">
        <f t="shared" si="10"/>
        <v>124555.91800000001</v>
      </c>
      <c r="J40" s="24">
        <f t="shared" si="10"/>
        <v>222356.66099999996</v>
      </c>
      <c r="K40" s="24">
        <f t="shared" si="10"/>
        <v>263204.74699999997</v>
      </c>
      <c r="L40" s="24">
        <f t="shared" si="10"/>
        <v>266832.82299999997</v>
      </c>
      <c r="M40" s="24">
        <f t="shared" si="10"/>
        <v>312306.12900000002</v>
      </c>
      <c r="N40" s="24">
        <f t="shared" si="10"/>
        <v>320506.49799999996</v>
      </c>
      <c r="O40" s="24">
        <f t="shared" si="10"/>
        <v>367115.30100000004</v>
      </c>
      <c r="P40" s="27">
        <f>(O40-J40)/J40</f>
        <v>0.65102002948317383</v>
      </c>
      <c r="Q40" s="27">
        <f>H40/D40</f>
        <v>5.1646801821102943E-3</v>
      </c>
      <c r="R40" s="27">
        <f t="shared" ref="R40:S41" si="11">I40/E40</f>
        <v>4.381812481322378E-2</v>
      </c>
      <c r="S40" s="27">
        <f t="shared" si="11"/>
        <v>7.7839515288062114E-2</v>
      </c>
      <c r="T40" s="27">
        <f>O40/G40</f>
        <v>0.12655380118547441</v>
      </c>
      <c r="U40" s="27">
        <f>(L40/J40)^(1/2)-1</f>
        <v>9.5455029181651829E-2</v>
      </c>
      <c r="V40" s="27">
        <f>(O40/M40)^(1/2)-1</f>
        <v>8.4203960172536396E-2</v>
      </c>
      <c r="W40" s="27">
        <f>(O40/J40)^(1/5)-1</f>
        <v>0.10547892716332408</v>
      </c>
      <c r="X40" s="33" t="s">
        <v>84</v>
      </c>
    </row>
    <row r="41" spans="1:32" x14ac:dyDescent="0.3">
      <c r="C41" s="31" t="s">
        <v>21</v>
      </c>
      <c r="D41" s="30">
        <f>SUMIF($C9:$C35,"oui",D9:D35)</f>
        <v>2045287.4259999997</v>
      </c>
      <c r="E41" s="30">
        <f t="shared" ref="E41:O41" si="12">SUMIF($C9:$C35,"oui",E9:E35)</f>
        <v>2285250.8879999998</v>
      </c>
      <c r="F41" s="30">
        <f t="shared" si="12"/>
        <v>2269734.3680000002</v>
      </c>
      <c r="G41" s="30">
        <f t="shared" si="12"/>
        <v>2301544.2690000003</v>
      </c>
      <c r="H41" s="30">
        <f t="shared" si="12"/>
        <v>9961.6350000000002</v>
      </c>
      <c r="I41" s="30">
        <f t="shared" si="12"/>
        <v>113347.36500000001</v>
      </c>
      <c r="J41" s="30">
        <f t="shared" si="12"/>
        <v>180972.98699999996</v>
      </c>
      <c r="K41" s="30">
        <f t="shared" si="12"/>
        <v>211314.61900000001</v>
      </c>
      <c r="L41" s="30">
        <f t="shared" si="12"/>
        <v>215774.63499999998</v>
      </c>
      <c r="M41" s="30">
        <f t="shared" si="12"/>
        <v>253544.28399999999</v>
      </c>
      <c r="N41" s="30">
        <f t="shared" si="12"/>
        <v>266990.679</v>
      </c>
      <c r="O41" s="30">
        <f t="shared" si="12"/>
        <v>305025.598</v>
      </c>
      <c r="P41" s="27">
        <f>(O41-J41)/J41</f>
        <v>0.68547584397222805</v>
      </c>
      <c r="Q41" s="27">
        <f>H41/D41</f>
        <v>4.8705306028708753E-3</v>
      </c>
      <c r="R41" s="27">
        <f t="shared" si="11"/>
        <v>4.9599527822172328E-2</v>
      </c>
      <c r="S41" s="27">
        <f t="shared" si="11"/>
        <v>7.9733113068850503E-2</v>
      </c>
      <c r="T41" s="27">
        <f>O41/G41</f>
        <v>0.1325308411871351</v>
      </c>
      <c r="U41" s="27">
        <f>(L41/J41)^(1/2)-1</f>
        <v>9.1926278755561919E-2</v>
      </c>
      <c r="V41" s="27">
        <f>(O41/M41)^(1/2)-1</f>
        <v>9.6834826317942602E-2</v>
      </c>
      <c r="W41" s="27">
        <f>(O41/J41)^(1/5)-1</f>
        <v>0.11005502346416596</v>
      </c>
      <c r="X41" s="34" t="s">
        <v>21</v>
      </c>
    </row>
    <row r="42" spans="1:32" x14ac:dyDescent="0.3">
      <c r="P42" s="3"/>
    </row>
    <row r="44" spans="1:32" x14ac:dyDescent="0.3">
      <c r="P44" s="3"/>
    </row>
    <row r="45" spans="1:32" x14ac:dyDescent="0.3">
      <c r="C45" s="2"/>
      <c r="P45" s="3"/>
    </row>
    <row r="46" spans="1:32" x14ac:dyDescent="0.3">
      <c r="C46" s="2"/>
    </row>
    <row r="47" spans="1:32" x14ac:dyDescent="0.3">
      <c r="C47" s="2"/>
    </row>
    <row r="48" spans="1:32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</sheetData>
  <autoFilter ref="A8:X35" xr:uid="{00000000-0009-0000-0000-000000000000}"/>
  <mergeCells count="1"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0BAA-B123-4A2B-A220-1F0BA385411D}">
  <dimension ref="A3:B30"/>
  <sheetViews>
    <sheetView workbookViewId="0">
      <selection activeCell="M26" sqref="M26"/>
    </sheetView>
  </sheetViews>
  <sheetFormatPr baseColWidth="10" defaultRowHeight="14.4" x14ac:dyDescent="0.3"/>
  <sheetData>
    <row r="3" spans="1:2" x14ac:dyDescent="0.3">
      <c r="A3" t="s">
        <v>83</v>
      </c>
      <c r="B3" t="s">
        <v>85</v>
      </c>
    </row>
    <row r="4" spans="1:2" x14ac:dyDescent="0.3">
      <c r="A4" t="s">
        <v>39</v>
      </c>
      <c r="B4" s="41">
        <v>2.7937764294862872E-5</v>
      </c>
    </row>
    <row r="5" spans="1:2" x14ac:dyDescent="0.3">
      <c r="A5" t="s">
        <v>38</v>
      </c>
      <c r="B5" s="41">
        <v>2.1126016689553185E-4</v>
      </c>
    </row>
    <row r="6" spans="1:2" x14ac:dyDescent="0.3">
      <c r="A6" t="s">
        <v>37</v>
      </c>
      <c r="B6" s="41">
        <v>3.8199792242820985E-4</v>
      </c>
    </row>
    <row r="7" spans="1:2" x14ac:dyDescent="0.3">
      <c r="A7" t="s">
        <v>36</v>
      </c>
      <c r="B7" s="41">
        <v>8.0547953546991104E-3</v>
      </c>
    </row>
    <row r="8" spans="1:2" x14ac:dyDescent="0.3">
      <c r="A8" t="s">
        <v>34</v>
      </c>
      <c r="B8" s="41">
        <v>2.1414093940017039E-2</v>
      </c>
    </row>
    <row r="9" spans="1:2" x14ac:dyDescent="0.3">
      <c r="A9" t="s">
        <v>35</v>
      </c>
      <c r="B9" s="41">
        <v>2.3918886490944546E-2</v>
      </c>
    </row>
    <row r="10" spans="1:2" x14ac:dyDescent="0.3">
      <c r="A10" t="s">
        <v>33</v>
      </c>
      <c r="B10" s="41">
        <v>2.9748473349552312E-2</v>
      </c>
    </row>
    <row r="11" spans="1:2" x14ac:dyDescent="0.3">
      <c r="A11" t="s">
        <v>32</v>
      </c>
      <c r="B11" s="41">
        <v>4.6399964523909501E-2</v>
      </c>
    </row>
    <row r="12" spans="1:2" x14ac:dyDescent="0.3">
      <c r="A12" t="s">
        <v>31</v>
      </c>
      <c r="B12" s="41">
        <v>6.0884661587864965E-2</v>
      </c>
    </row>
    <row r="13" spans="1:2" x14ac:dyDescent="0.3">
      <c r="A13" t="s">
        <v>29</v>
      </c>
      <c r="B13" s="41">
        <v>6.8901180064121756E-2</v>
      </c>
    </row>
    <row r="14" spans="1:2" x14ac:dyDescent="0.3">
      <c r="A14" t="s">
        <v>28</v>
      </c>
      <c r="B14" s="41">
        <v>8.8107936758268071E-2</v>
      </c>
    </row>
    <row r="15" spans="1:2" x14ac:dyDescent="0.3">
      <c r="A15" t="s">
        <v>30</v>
      </c>
      <c r="B15" s="41">
        <v>9.0213538202544491E-2</v>
      </c>
    </row>
    <row r="16" spans="1:2" x14ac:dyDescent="0.3">
      <c r="A16" t="s">
        <v>26</v>
      </c>
      <c r="B16" s="41">
        <v>9.2254407773955396E-2</v>
      </c>
    </row>
    <row r="17" spans="1:2" x14ac:dyDescent="0.3">
      <c r="A17" t="s">
        <v>25</v>
      </c>
      <c r="B17" s="41">
        <v>9.5543266878479388E-2</v>
      </c>
    </row>
    <row r="18" spans="1:2" x14ac:dyDescent="0.3">
      <c r="A18" t="s">
        <v>24</v>
      </c>
      <c r="B18" s="41">
        <v>0.1007438501708123</v>
      </c>
    </row>
    <row r="19" spans="1:2" x14ac:dyDescent="0.3">
      <c r="A19" t="s">
        <v>27</v>
      </c>
      <c r="B19" s="41">
        <v>0.10422869096840431</v>
      </c>
    </row>
    <row r="20" spans="1:2" x14ac:dyDescent="0.3">
      <c r="A20" t="s">
        <v>18</v>
      </c>
      <c r="B20" s="41">
        <v>0.11359426984356071</v>
      </c>
    </row>
    <row r="21" spans="1:2" x14ac:dyDescent="0.3">
      <c r="A21" t="s">
        <v>22</v>
      </c>
      <c r="B21" s="41">
        <v>0.11498945949546641</v>
      </c>
    </row>
    <row r="22" spans="1:2" x14ac:dyDescent="0.3">
      <c r="A22" t="s">
        <v>19</v>
      </c>
      <c r="B22" s="41">
        <v>0.11782900634651119</v>
      </c>
    </row>
    <row r="23" spans="1:2" x14ac:dyDescent="0.3">
      <c r="A23" t="s">
        <v>20</v>
      </c>
      <c r="B23" s="41">
        <v>0.14742519671420584</v>
      </c>
    </row>
    <row r="24" spans="1:2" x14ac:dyDescent="0.3">
      <c r="A24" t="s">
        <v>23</v>
      </c>
      <c r="B24" s="41">
        <v>0.15977960614734663</v>
      </c>
    </row>
    <row r="25" spans="1:2" x14ac:dyDescent="0.3">
      <c r="A25" t="s">
        <v>16</v>
      </c>
      <c r="B25" s="41">
        <v>0.20374709832380145</v>
      </c>
    </row>
    <row r="26" spans="1:2" x14ac:dyDescent="0.3">
      <c r="A26" t="s">
        <v>17</v>
      </c>
      <c r="B26" s="41">
        <v>0.20720631754276816</v>
      </c>
    </row>
    <row r="27" spans="1:2" x14ac:dyDescent="0.3">
      <c r="A27" t="s">
        <v>15</v>
      </c>
      <c r="B27" s="41">
        <v>0.25711903694479665</v>
      </c>
    </row>
    <row r="28" spans="1:2" x14ac:dyDescent="0.3">
      <c r="A28" t="s">
        <v>14</v>
      </c>
      <c r="B28" s="41">
        <v>0.32382617642853467</v>
      </c>
    </row>
    <row r="29" spans="1:2" x14ac:dyDescent="0.3">
      <c r="A29" t="s">
        <v>12</v>
      </c>
      <c r="B29" s="41">
        <v>0.39998932934962389</v>
      </c>
    </row>
    <row r="30" spans="1:2" x14ac:dyDescent="0.3">
      <c r="A30" t="s">
        <v>10</v>
      </c>
      <c r="B30" s="41">
        <v>0.54697424435912168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D12B-7BC4-42CF-A78C-23F3E9F2EA7A}">
  <dimension ref="A1"/>
  <sheetViews>
    <sheetView tabSelected="1" topLeftCell="A78" zoomScale="51" zoomScaleNormal="51" zoomScaleSheetLayoutView="40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TD3</vt:lpstr>
      <vt:lpstr>Q6</vt:lpstr>
      <vt:lpstr>Carte Khartis</vt:lpstr>
      <vt:lpstr>Q6_G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Marc O'FLAHERTY</cp:lastModifiedBy>
  <dcterms:created xsi:type="dcterms:W3CDTF">2021-02-28T13:11:08Z</dcterms:created>
  <dcterms:modified xsi:type="dcterms:W3CDTF">2026-02-14T11:39:13Z</dcterms:modified>
</cp:coreProperties>
</file>