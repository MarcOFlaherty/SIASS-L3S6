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187997\Downloads\"/>
    </mc:Choice>
  </mc:AlternateContent>
  <xr:revisionPtr revIDLastSave="0" documentId="13_ncr:1_{7BE770D9-AE1D-4A3F-A4D7-6503D86EE87F}" xr6:coauthVersionLast="47" xr6:coauthVersionMax="47" xr10:uidLastSave="{00000000-0000-0000-0000-000000000000}"/>
  <bookViews>
    <workbookView xWindow="-120" yWindow="-120" windowWidth="29040" windowHeight="15720" xr2:uid="{06415A76-9E07-48C3-9C18-51BC772074E8}"/>
  </bookViews>
  <sheets>
    <sheet name="Données et consignes" sheetId="1" r:id="rId1"/>
    <sheet name="Q1" sheetId="4" r:id="rId2"/>
    <sheet name="Q2" sheetId="5" r:id="rId3"/>
    <sheet name="Q3_G" sheetId="6" r:id="rId4"/>
    <sheet name="Abstention et classes sociales" sheetId="2" r:id="rId5"/>
    <sheet name="PCS, gauche, droite"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5" l="1"/>
  <c r="D4" i="5"/>
  <c r="E4" i="5"/>
  <c r="B4" i="5"/>
  <c r="C3" i="5"/>
  <c r="D3" i="5"/>
  <c r="E3" i="5"/>
  <c r="B3" i="5"/>
  <c r="C2" i="5"/>
  <c r="D2" i="5"/>
  <c r="E2" i="5"/>
  <c r="B2" i="5"/>
  <c r="C13" i="4"/>
  <c r="D13" i="4"/>
  <c r="E13" i="4"/>
  <c r="F13" i="4"/>
  <c r="B13" i="4"/>
  <c r="C12" i="4"/>
  <c r="D12" i="4"/>
  <c r="E12" i="4"/>
  <c r="F12" i="4"/>
  <c r="B12" i="4"/>
  <c r="C11" i="4"/>
  <c r="D11" i="4"/>
  <c r="E11" i="4"/>
  <c r="F11" i="4"/>
  <c r="B11" i="4"/>
  <c r="C9" i="4"/>
  <c r="D9" i="4"/>
  <c r="E9" i="4"/>
  <c r="F9" i="4"/>
  <c r="B9" i="4"/>
  <c r="C4" i="4"/>
  <c r="D4" i="4"/>
  <c r="E4" i="4"/>
  <c r="F4" i="4"/>
  <c r="B4" i="4"/>
  <c r="C2" i="4"/>
  <c r="D2" i="4"/>
  <c r="E2" i="4"/>
  <c r="F2" i="4"/>
  <c r="C3" i="4"/>
  <c r="C10" i="4" s="1"/>
  <c r="D3" i="4"/>
  <c r="D10" i="4" s="1"/>
  <c r="E3" i="4"/>
  <c r="E8" i="4" s="1"/>
  <c r="F3" i="4"/>
  <c r="F8" i="4" s="1"/>
  <c r="C5" i="4"/>
  <c r="D5" i="4"/>
  <c r="E5" i="4"/>
  <c r="F5" i="4"/>
  <c r="C6" i="4"/>
  <c r="C7" i="4" s="1"/>
  <c r="D6" i="4"/>
  <c r="D7" i="4" s="1"/>
  <c r="E6" i="4"/>
  <c r="E7" i="4" s="1"/>
  <c r="F6" i="4"/>
  <c r="F7" i="4" s="1"/>
  <c r="B6" i="4"/>
  <c r="B7" i="4" s="1"/>
  <c r="B5" i="4"/>
  <c r="B8" i="4" s="1"/>
  <c r="B3" i="4"/>
  <c r="B2" i="4"/>
  <c r="B10" i="4" l="1"/>
  <c r="E10" i="4"/>
  <c r="F10" i="4"/>
  <c r="C8" i="4"/>
  <c r="D8" i="4"/>
</calcChain>
</file>

<file path=xl/sharedStrings.xml><?xml version="1.0" encoding="utf-8"?>
<sst xmlns="http://schemas.openxmlformats.org/spreadsheetml/2006/main" count="36" uniqueCount="31">
  <si>
    <t>IDCOM</t>
  </si>
  <si>
    <t>Médiane du revenu disponible par unité de consommation en 2019, en euros</t>
  </si>
  <si>
    <t>Sources :</t>
  </si>
  <si>
    <t>Insee, RP2008, RP2013 et RP2018, exploitations principales, géographie au 01/01/2021.</t>
  </si>
  <si>
    <t>pvoixMELENCHON</t>
  </si>
  <si>
    <t>pvoixZEMMOUR</t>
  </si>
  <si>
    <t>pvoixMLEPEN</t>
  </si>
  <si>
    <t>pvoixMACRON</t>
  </si>
  <si>
    <t xml:space="preserve"> https://unehistoireduconflitpolitique.fr/ </t>
  </si>
  <si>
    <t xml:space="preserve">Piketty et Cagé 2023     </t>
  </si>
  <si>
    <t>Incidateur</t>
  </si>
  <si>
    <t>MELENCHON</t>
  </si>
  <si>
    <t>ZEMMOUR</t>
  </si>
  <si>
    <t>MLEPEN</t>
  </si>
  <si>
    <t>MACRON</t>
  </si>
  <si>
    <t>Min</t>
  </si>
  <si>
    <t>Max</t>
  </si>
  <si>
    <t>Étendue</t>
  </si>
  <si>
    <t>Q1</t>
  </si>
  <si>
    <t>Q3</t>
  </si>
  <si>
    <t>Écart inter-quartile</t>
  </si>
  <si>
    <t>Écart inter-quartile relatif</t>
  </si>
  <si>
    <t>Rapport inter-quartile</t>
  </si>
  <si>
    <t>Variance</t>
  </si>
  <si>
    <t>Écart-type</t>
  </si>
  <si>
    <t>Coefficient de variation</t>
  </si>
  <si>
    <t>Médiane du revenu</t>
  </si>
  <si>
    <t>Médiane</t>
  </si>
  <si>
    <t>Covariance</t>
  </si>
  <si>
    <t>Corrélation r</t>
  </si>
  <si>
    <t>Détermination R²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</si>
</sst>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_-* #,##0\ &quot;€&quot;_-;\-* #,##0\ &quot;€&quot;_-;_-* &quot;-&quot;??\ &quot;€&quot;_-;_-@_-"/>
    <numFmt numFmtId="169" formatCode="0.000"/>
  </numFmts>
  <fonts count="4" x14ac:knownFonts="1">
    <font>
      <sz val="11"/>
      <color theme="1"/>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8">
    <xf numFmtId="0" fontId="0" fillId="0" borderId="0" xfId="0"/>
    <xf numFmtId="0" fontId="2" fillId="0" borderId="0" xfId="1"/>
    <xf numFmtId="9" fontId="0" fillId="0" borderId="0" xfId="2" applyFont="1"/>
    <xf numFmtId="0" fontId="3" fillId="0" borderId="0" xfId="0" applyFont="1"/>
    <xf numFmtId="9" fontId="0" fillId="0" borderId="0" xfId="0" applyNumberFormat="1"/>
    <xf numFmtId="164" fontId="0" fillId="0" borderId="0" xfId="3" applyNumberFormat="1" applyFont="1"/>
    <xf numFmtId="0" fontId="0" fillId="0" borderId="0" xfId="0" applyAlignment="1">
      <alignment horizontal="center" vertical="center"/>
    </xf>
    <xf numFmtId="169" fontId="0" fillId="0" borderId="0" xfId="0" applyNumberFormat="1"/>
  </cellXfs>
  <cellStyles count="4">
    <cellStyle name="Lien hypertexte" xfId="1" builtinId="8"/>
    <cellStyle name="Monétaire" xfId="3" builtinId="4"/>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Mélenchon</c:v>
          </c:tx>
          <c:spPr>
            <a:ln w="25400" cap="rnd">
              <a:noFill/>
              <a:round/>
            </a:ln>
            <a:effectLst/>
          </c:spPr>
          <c:marker>
            <c:symbol val="circle"/>
            <c:size val="5"/>
            <c:spPr>
              <a:solidFill>
                <a:srgbClr val="7030A0"/>
              </a:solidFill>
              <a:ln w="9525">
                <a:solidFill>
                  <a:srgbClr val="7030A0"/>
                </a:solidFill>
              </a:ln>
              <a:effectLst/>
            </c:spPr>
          </c:marker>
          <c:trendline>
            <c:spPr>
              <a:ln w="19050" cap="rnd">
                <a:solidFill>
                  <a:srgbClr val="7030A0"/>
                </a:solidFill>
                <a:prstDash val="solid"/>
              </a:ln>
              <a:effectLst/>
            </c:spPr>
            <c:trendlineType val="linear"/>
            <c:dispRSqr val="0"/>
            <c:dispEq val="0"/>
          </c:trendline>
          <c:xVal>
            <c:numRef>
              <c:f>'Données et consignes'!$F$2:$F$21</c:f>
              <c:numCache>
                <c:formatCode>General</c:formatCode>
                <c:ptCount val="20"/>
                <c:pt idx="0">
                  <c:v>34720</c:v>
                </c:pt>
                <c:pt idx="1">
                  <c:v>32650</c:v>
                </c:pt>
                <c:pt idx="2">
                  <c:v>33570</c:v>
                </c:pt>
                <c:pt idx="3">
                  <c:v>31840</c:v>
                </c:pt>
                <c:pt idx="4">
                  <c:v>34520</c:v>
                </c:pt>
                <c:pt idx="5">
                  <c:v>40490</c:v>
                </c:pt>
                <c:pt idx="6">
                  <c:v>44400</c:v>
                </c:pt>
                <c:pt idx="7">
                  <c:v>43230</c:v>
                </c:pt>
                <c:pt idx="8">
                  <c:v>35880</c:v>
                </c:pt>
                <c:pt idx="9">
                  <c:v>27810</c:v>
                </c:pt>
                <c:pt idx="10">
                  <c:v>28750</c:v>
                </c:pt>
                <c:pt idx="11">
                  <c:v>29040</c:v>
                </c:pt>
                <c:pt idx="12">
                  <c:v>24970</c:v>
                </c:pt>
                <c:pt idx="13">
                  <c:v>28480</c:v>
                </c:pt>
                <c:pt idx="14">
                  <c:v>31930</c:v>
                </c:pt>
                <c:pt idx="15">
                  <c:v>40300</c:v>
                </c:pt>
                <c:pt idx="16">
                  <c:v>32120</c:v>
                </c:pt>
                <c:pt idx="17">
                  <c:v>23650</c:v>
                </c:pt>
                <c:pt idx="18">
                  <c:v>21460</c:v>
                </c:pt>
                <c:pt idx="19">
                  <c:v>22510</c:v>
                </c:pt>
              </c:numCache>
            </c:numRef>
          </c:xVal>
          <c:yVal>
            <c:numRef>
              <c:f>'Données et consignes'!$B$2:$B$21</c:f>
              <c:numCache>
                <c:formatCode>0%</c:formatCode>
                <c:ptCount val="20"/>
                <c:pt idx="0">
                  <c:v>0.21223354</c:v>
                </c:pt>
                <c:pt idx="1">
                  <c:v>0.24836601</c:v>
                </c:pt>
                <c:pt idx="2">
                  <c:v>0.26017699</c:v>
                </c:pt>
                <c:pt idx="3">
                  <c:v>0.23621776999999999</c:v>
                </c:pt>
                <c:pt idx="4">
                  <c:v>0.26053119000000002</c:v>
                </c:pt>
                <c:pt idx="5">
                  <c:v>0.15191515</c:v>
                </c:pt>
                <c:pt idx="6">
                  <c:v>9.7336218000000002E-2</c:v>
                </c:pt>
                <c:pt idx="7">
                  <c:v>0.11547193</c:v>
                </c:pt>
                <c:pt idx="8">
                  <c:v>0.23498678000000001</c:v>
                </c:pt>
                <c:pt idx="9">
                  <c:v>0.38448510000000002</c:v>
                </c:pt>
                <c:pt idx="10">
                  <c:v>0.36263185999999997</c:v>
                </c:pt>
                <c:pt idx="11">
                  <c:v>0.31752929000000002</c:v>
                </c:pt>
                <c:pt idx="12">
                  <c:v>0.36127046000000002</c:v>
                </c:pt>
                <c:pt idx="13">
                  <c:v>0.30073245999999998</c:v>
                </c:pt>
                <c:pt idx="14">
                  <c:v>0.20601264</c:v>
                </c:pt>
                <c:pt idx="15">
                  <c:v>9.0228855999999996E-2</c:v>
                </c:pt>
                <c:pt idx="16">
                  <c:v>0.20496060999999999</c:v>
                </c:pt>
                <c:pt idx="17">
                  <c:v>0.4170295</c:v>
                </c:pt>
                <c:pt idx="18">
                  <c:v>0.46512341000000001</c:v>
                </c:pt>
                <c:pt idx="19">
                  <c:v>0.47169318999999998</c:v>
                </c:pt>
              </c:numCache>
            </c:numRef>
          </c:yVal>
          <c:smooth val="0"/>
          <c:extLst>
            <c:ext xmlns:c16="http://schemas.microsoft.com/office/drawing/2014/chart" uri="{C3380CC4-5D6E-409C-BE32-E72D297353CC}">
              <c16:uniqueId val="{00000000-A474-4630-AEEF-6262A80B3398}"/>
            </c:ext>
          </c:extLst>
        </c:ser>
        <c:ser>
          <c:idx val="1"/>
          <c:order val="1"/>
          <c:tx>
            <c:v>Zemmour</c:v>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tx1"/>
                </a:solidFill>
                <a:prstDash val="solid"/>
              </a:ln>
              <a:effectLst/>
            </c:spPr>
            <c:trendlineType val="linear"/>
            <c:dispRSqr val="0"/>
            <c:dispEq val="0"/>
          </c:trendline>
          <c:xVal>
            <c:numRef>
              <c:f>'Données et consignes'!$F$2:$F$21</c:f>
              <c:numCache>
                <c:formatCode>General</c:formatCode>
                <c:ptCount val="20"/>
                <c:pt idx="0">
                  <c:v>34720</c:v>
                </c:pt>
                <c:pt idx="1">
                  <c:v>32650</c:v>
                </c:pt>
                <c:pt idx="2">
                  <c:v>33570</c:v>
                </c:pt>
                <c:pt idx="3">
                  <c:v>31840</c:v>
                </c:pt>
                <c:pt idx="4">
                  <c:v>34520</c:v>
                </c:pt>
                <c:pt idx="5">
                  <c:v>40490</c:v>
                </c:pt>
                <c:pt idx="6">
                  <c:v>44400</c:v>
                </c:pt>
                <c:pt idx="7">
                  <c:v>43230</c:v>
                </c:pt>
                <c:pt idx="8">
                  <c:v>35880</c:v>
                </c:pt>
                <c:pt idx="9">
                  <c:v>27810</c:v>
                </c:pt>
                <c:pt idx="10">
                  <c:v>28750</c:v>
                </c:pt>
                <c:pt idx="11">
                  <c:v>29040</c:v>
                </c:pt>
                <c:pt idx="12">
                  <c:v>24970</c:v>
                </c:pt>
                <c:pt idx="13">
                  <c:v>28480</c:v>
                </c:pt>
                <c:pt idx="14">
                  <c:v>31930</c:v>
                </c:pt>
                <c:pt idx="15">
                  <c:v>40300</c:v>
                </c:pt>
                <c:pt idx="16">
                  <c:v>32120</c:v>
                </c:pt>
                <c:pt idx="17">
                  <c:v>23650</c:v>
                </c:pt>
                <c:pt idx="18">
                  <c:v>21460</c:v>
                </c:pt>
                <c:pt idx="19">
                  <c:v>22510</c:v>
                </c:pt>
              </c:numCache>
            </c:numRef>
          </c:xVal>
          <c:yVal>
            <c:numRef>
              <c:f>'Données et consignes'!$C$2:$C$21</c:f>
              <c:numCache>
                <c:formatCode>0%</c:formatCode>
                <c:ptCount val="20"/>
                <c:pt idx="0">
                  <c:v>9.2794254000000007E-2</c:v>
                </c:pt>
                <c:pt idx="1">
                  <c:v>7.0146367000000001E-2</c:v>
                </c:pt>
                <c:pt idx="2">
                  <c:v>5.9663147E-2</c:v>
                </c:pt>
                <c:pt idx="3">
                  <c:v>8.4407568000000002E-2</c:v>
                </c:pt>
                <c:pt idx="4">
                  <c:v>7.8619680999999997E-2</c:v>
                </c:pt>
                <c:pt idx="5">
                  <c:v>0.10522903</c:v>
                </c:pt>
                <c:pt idx="6">
                  <c:v>0.13919564000000001</c:v>
                </c:pt>
                <c:pt idx="7">
                  <c:v>0.15315543000000001</c:v>
                </c:pt>
                <c:pt idx="8">
                  <c:v>7.2745711000000005E-2</c:v>
                </c:pt>
                <c:pt idx="9">
                  <c:v>5.2212328000000002E-2</c:v>
                </c:pt>
                <c:pt idx="10">
                  <c:v>4.9878280999999997E-2</c:v>
                </c:pt>
                <c:pt idx="11">
                  <c:v>7.0898689000000001E-2</c:v>
                </c:pt>
                <c:pt idx="12">
                  <c:v>6.2625341000000001E-2</c:v>
                </c:pt>
                <c:pt idx="13">
                  <c:v>6.6702685999999997E-2</c:v>
                </c:pt>
                <c:pt idx="14">
                  <c:v>9.7884893000000001E-2</c:v>
                </c:pt>
                <c:pt idx="15">
                  <c:v>0.17480393</c:v>
                </c:pt>
                <c:pt idx="16">
                  <c:v>0.10886263</c:v>
                </c:pt>
                <c:pt idx="17">
                  <c:v>4.6812288000000001E-2</c:v>
                </c:pt>
                <c:pt idx="18">
                  <c:v>6.8793960000000001E-2</c:v>
                </c:pt>
                <c:pt idx="19">
                  <c:v>5.0620842999999999E-2</c:v>
                </c:pt>
              </c:numCache>
            </c:numRef>
          </c:yVal>
          <c:smooth val="0"/>
          <c:extLst>
            <c:ext xmlns:c16="http://schemas.microsoft.com/office/drawing/2014/chart" uri="{C3380CC4-5D6E-409C-BE32-E72D297353CC}">
              <c16:uniqueId val="{00000001-A474-4630-AEEF-6262A80B3398}"/>
            </c:ext>
          </c:extLst>
        </c:ser>
        <c:ser>
          <c:idx val="2"/>
          <c:order val="2"/>
          <c:tx>
            <c:v>Macron</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olid"/>
              </a:ln>
              <a:effectLst/>
            </c:spPr>
            <c:trendlineType val="linear"/>
            <c:dispRSqr val="0"/>
            <c:dispEq val="0"/>
          </c:trendline>
          <c:xVal>
            <c:numRef>
              <c:f>'Données et consignes'!$F$2:$F$21</c:f>
              <c:numCache>
                <c:formatCode>General</c:formatCode>
                <c:ptCount val="20"/>
                <c:pt idx="0">
                  <c:v>34720</c:v>
                </c:pt>
                <c:pt idx="1">
                  <c:v>32650</c:v>
                </c:pt>
                <c:pt idx="2">
                  <c:v>33570</c:v>
                </c:pt>
                <c:pt idx="3">
                  <c:v>31840</c:v>
                </c:pt>
                <c:pt idx="4">
                  <c:v>34520</c:v>
                </c:pt>
                <c:pt idx="5">
                  <c:v>40490</c:v>
                </c:pt>
                <c:pt idx="6">
                  <c:v>44400</c:v>
                </c:pt>
                <c:pt idx="7">
                  <c:v>43230</c:v>
                </c:pt>
                <c:pt idx="8">
                  <c:v>35880</c:v>
                </c:pt>
                <c:pt idx="9">
                  <c:v>27810</c:v>
                </c:pt>
                <c:pt idx="10">
                  <c:v>28750</c:v>
                </c:pt>
                <c:pt idx="11">
                  <c:v>29040</c:v>
                </c:pt>
                <c:pt idx="12">
                  <c:v>24970</c:v>
                </c:pt>
                <c:pt idx="13">
                  <c:v>28480</c:v>
                </c:pt>
                <c:pt idx="14">
                  <c:v>31930</c:v>
                </c:pt>
                <c:pt idx="15">
                  <c:v>40300</c:v>
                </c:pt>
                <c:pt idx="16">
                  <c:v>32120</c:v>
                </c:pt>
                <c:pt idx="17">
                  <c:v>23650</c:v>
                </c:pt>
                <c:pt idx="18">
                  <c:v>21460</c:v>
                </c:pt>
                <c:pt idx="19">
                  <c:v>22510</c:v>
                </c:pt>
              </c:numCache>
            </c:numRef>
          </c:xVal>
          <c:yVal>
            <c:numRef>
              <c:f>'Données et consignes'!$E$2:$E$21</c:f>
              <c:numCache>
                <c:formatCode>0%</c:formatCode>
                <c:ptCount val="20"/>
                <c:pt idx="0">
                  <c:v>0.43037534</c:v>
                </c:pt>
                <c:pt idx="1">
                  <c:v>0.43523889999999998</c:v>
                </c:pt>
                <c:pt idx="2">
                  <c:v>0.43145874000000001</c:v>
                </c:pt>
                <c:pt idx="3">
                  <c:v>0.41353539</c:v>
                </c:pt>
                <c:pt idx="4">
                  <c:v>0.38819712000000001</c:v>
                </c:pt>
                <c:pt idx="5">
                  <c:v>0.47621693999999998</c:v>
                </c:pt>
                <c:pt idx="6">
                  <c:v>0.48466647000000002</c:v>
                </c:pt>
                <c:pt idx="7">
                  <c:v>0.4675377</c:v>
                </c:pt>
                <c:pt idx="8">
                  <c:v>0.43736553</c:v>
                </c:pt>
                <c:pt idx="9">
                  <c:v>0.31467025999999998</c:v>
                </c:pt>
                <c:pt idx="10">
                  <c:v>0.32836082999999999</c:v>
                </c:pt>
                <c:pt idx="11">
                  <c:v>0.32851520000000001</c:v>
                </c:pt>
                <c:pt idx="12">
                  <c:v>0.29955459000000001</c:v>
                </c:pt>
                <c:pt idx="13">
                  <c:v>0.35050430999999999</c:v>
                </c:pt>
                <c:pt idx="14">
                  <c:v>0.40259658999999998</c:v>
                </c:pt>
                <c:pt idx="15">
                  <c:v>0.46753897999999999</c:v>
                </c:pt>
                <c:pt idx="16">
                  <c:v>0.42349827000000001</c:v>
                </c:pt>
                <c:pt idx="17">
                  <c:v>0.2903116</c:v>
                </c:pt>
                <c:pt idx="18">
                  <c:v>0.23867503000000001</c:v>
                </c:pt>
                <c:pt idx="19">
                  <c:v>0.23706672000000001</c:v>
                </c:pt>
              </c:numCache>
            </c:numRef>
          </c:yVal>
          <c:smooth val="0"/>
          <c:extLst>
            <c:ext xmlns:c16="http://schemas.microsoft.com/office/drawing/2014/chart" uri="{C3380CC4-5D6E-409C-BE32-E72D297353CC}">
              <c16:uniqueId val="{00000002-A474-4630-AEEF-6262A80B3398}"/>
            </c:ext>
          </c:extLst>
        </c:ser>
        <c:dLbls>
          <c:showLegendKey val="0"/>
          <c:showVal val="0"/>
          <c:showCatName val="0"/>
          <c:showSerName val="0"/>
          <c:showPercent val="0"/>
          <c:showBubbleSize val="0"/>
        </c:dLbls>
        <c:axId val="1390610127"/>
        <c:axId val="1390610607"/>
      </c:scatterChart>
      <c:valAx>
        <c:axId val="1390610127"/>
        <c:scaling>
          <c:orientation val="minMax"/>
          <c:min val="2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Revenu médian (en euros)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quot;€&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90610607"/>
        <c:crosses val="autoZero"/>
        <c:crossBetween val="midCat"/>
      </c:valAx>
      <c:valAx>
        <c:axId val="1390610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t>
                </a:r>
                <a:r>
                  <a:rPr lang="fr-FR" baseline="0"/>
                  <a:t> de voix moyen</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906101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349AF4D-080B-46CB-8F9C-7371D7E72070}">
  <sheetPr/>
  <sheetViews>
    <sheetView zoomScale="117"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304800</xdr:colOff>
      <xdr:row>1</xdr:row>
      <xdr:rowOff>146050</xdr:rowOff>
    </xdr:from>
    <xdr:to>
      <xdr:col>13</xdr:col>
      <xdr:colOff>438150</xdr:colOff>
      <xdr:row>20</xdr:row>
      <xdr:rowOff>152400</xdr:rowOff>
    </xdr:to>
    <xdr:sp macro="" textlink="">
      <xdr:nvSpPr>
        <xdr:cNvPr id="2" name="ZoneTexte 1">
          <a:extLst>
            <a:ext uri="{FF2B5EF4-FFF2-40B4-BE49-F238E27FC236}">
              <a16:creationId xmlns:a16="http://schemas.microsoft.com/office/drawing/2014/main" id="{BB12768F-7C64-4E20-8728-41C6EE67792D}"/>
            </a:ext>
          </a:extLst>
        </xdr:cNvPr>
        <xdr:cNvSpPr txBox="1"/>
      </xdr:nvSpPr>
      <xdr:spPr>
        <a:xfrm>
          <a:off x="5638800" y="330200"/>
          <a:ext cx="4705350" cy="350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1) Calculez</a:t>
          </a:r>
          <a:r>
            <a:rPr lang="fr-FR" sz="1100" baseline="0"/>
            <a:t> min, max, étendue, quartiles 1 et 3, médiane, écart inter-quartile, écart inter-quartile relatif, rapport interquartile, écart-type, variance, coefficient de variation pour toutes les variables</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2) Calculez covariance,</a:t>
          </a:r>
          <a:r>
            <a:rPr lang="fr-FR" sz="1100" baseline="0">
              <a:solidFill>
                <a:schemeClr val="dk1"/>
              </a:solidFill>
              <a:effectLst/>
              <a:latin typeface="+mn-lt"/>
              <a:ea typeface="+mn-ea"/>
              <a:cs typeface="+mn-cs"/>
            </a:rPr>
            <a:t> r et R2 pour les proportions de votes en faveur des quatre candidats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3) Effectuez une régression linéaire pour </a:t>
          </a:r>
          <a:r>
            <a:rPr lang="fr-FR" sz="1100">
              <a:solidFill>
                <a:schemeClr val="dk1"/>
              </a:solidFill>
              <a:effectLst/>
              <a:latin typeface="+mn-lt"/>
              <a:ea typeface="+mn-ea"/>
              <a:cs typeface="+mn-cs"/>
            </a:rPr>
            <a:t>les proportions de votes pour EZ, EM, JLM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4)</a:t>
          </a:r>
          <a:r>
            <a:rPr lang="fr-FR" sz="1100" baseline="0">
              <a:solidFill>
                <a:schemeClr val="dk1"/>
              </a:solidFill>
              <a:effectLst/>
              <a:latin typeface="+mn-lt"/>
              <a:ea typeface="+mn-ea"/>
              <a:cs typeface="+mn-cs"/>
            </a:rPr>
            <a:t> A l'aide de Khartis, représente sur quatre cartes les résultats pour JLM, EZ et EM ainsi que le revenu médian dans les arrondissements parisiens.</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4) </a:t>
          </a:r>
          <a:r>
            <a:rPr lang="fr-FR" sz="1100">
              <a:solidFill>
                <a:schemeClr val="dk1"/>
              </a:solidFill>
              <a:effectLst/>
              <a:latin typeface="+mn-lt"/>
              <a:ea typeface="+mn-ea"/>
              <a:cs typeface="+mn-cs"/>
            </a:rPr>
            <a:t>Représentez sur un même graphique les proportions de vote pour EZ, EM, JLM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5) En s’appuyant sur les indicateurs calculés au cours du devoir et sur les deux infographies dans les onglets suivants, analysez les votes pour la gauche, le centre droit, la droite et l’extrême droite en fonction des catégories sociales. </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305192" cy="6081346"/>
    <xdr:graphicFrame macro="">
      <xdr:nvGraphicFramePr>
        <xdr:cNvPr id="2" name="Graphique 1">
          <a:extLst>
            <a:ext uri="{FF2B5EF4-FFF2-40B4-BE49-F238E27FC236}">
              <a16:creationId xmlns:a16="http://schemas.microsoft.com/office/drawing/2014/main" id="{0F3FA59A-4951-B044-0A69-4747BA19E7C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426720</xdr:colOff>
      <xdr:row>46</xdr:row>
      <xdr:rowOff>99695</xdr:rowOff>
    </xdr:to>
    <xdr:pic>
      <xdr:nvPicPr>
        <xdr:cNvPr id="2" name="Image 1">
          <a:extLst>
            <a:ext uri="{FF2B5EF4-FFF2-40B4-BE49-F238E27FC236}">
              <a16:creationId xmlns:a16="http://schemas.microsoft.com/office/drawing/2014/main" id="{30A35558-EBBB-4484-B88B-A13D79E026C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760720" cy="85705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232410</xdr:colOff>
      <xdr:row>48</xdr:row>
      <xdr:rowOff>53340</xdr:rowOff>
    </xdr:to>
    <xdr:pic>
      <xdr:nvPicPr>
        <xdr:cNvPr id="2" name="Image 1">
          <a:extLst>
            <a:ext uri="{FF2B5EF4-FFF2-40B4-BE49-F238E27FC236}">
              <a16:creationId xmlns:a16="http://schemas.microsoft.com/office/drawing/2014/main" id="{5F9F275D-1947-418D-B4AB-C65AEE98308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04410" cy="8892540"/>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unehistoireduconflitpolitique.fr/%20Piketty%20et%20Cag&#233;%20202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7522-57B2-4D6F-B248-D8589EBB0745}">
  <dimension ref="A1:F23"/>
  <sheetViews>
    <sheetView tabSelected="1" workbookViewId="0">
      <selection activeCell="Q13" sqref="Q13"/>
    </sheetView>
  </sheetViews>
  <sheetFormatPr baseColWidth="10" defaultRowHeight="15" x14ac:dyDescent="0.25"/>
  <sheetData>
    <row r="1" spans="1:6" x14ac:dyDescent="0.25">
      <c r="A1" t="s">
        <v>0</v>
      </c>
      <c r="B1" t="s">
        <v>4</v>
      </c>
      <c r="C1" t="s">
        <v>5</v>
      </c>
      <c r="D1" t="s">
        <v>6</v>
      </c>
      <c r="E1" t="s">
        <v>7</v>
      </c>
      <c r="F1" t="s">
        <v>1</v>
      </c>
    </row>
    <row r="2" spans="1:6" x14ac:dyDescent="0.25">
      <c r="A2">
        <v>75101</v>
      </c>
      <c r="B2" s="2">
        <v>0.21223354</v>
      </c>
      <c r="C2" s="2">
        <v>9.2794254000000007E-2</v>
      </c>
      <c r="D2" s="2">
        <v>5.8850788000000001E-2</v>
      </c>
      <c r="E2" s="2">
        <v>0.43037534</v>
      </c>
      <c r="F2">
        <v>34720</v>
      </c>
    </row>
    <row r="3" spans="1:6" x14ac:dyDescent="0.25">
      <c r="A3">
        <v>75102</v>
      </c>
      <c r="B3" s="2">
        <v>0.24836601</v>
      </c>
      <c r="C3" s="2">
        <v>7.0146367000000001E-2</v>
      </c>
      <c r="D3" s="2">
        <v>4.3818466E-2</v>
      </c>
      <c r="E3" s="2">
        <v>0.43523889999999998</v>
      </c>
      <c r="F3">
        <v>32650</v>
      </c>
    </row>
    <row r="4" spans="1:6" x14ac:dyDescent="0.25">
      <c r="A4">
        <v>75103</v>
      </c>
      <c r="B4" s="2">
        <v>0.26017699</v>
      </c>
      <c r="C4" s="2">
        <v>5.9663147E-2</v>
      </c>
      <c r="D4" s="2">
        <v>3.7739079000000002E-2</v>
      </c>
      <c r="E4" s="2">
        <v>0.43145874000000001</v>
      </c>
      <c r="F4">
        <v>33570</v>
      </c>
    </row>
    <row r="5" spans="1:6" x14ac:dyDescent="0.25">
      <c r="A5">
        <v>75104</v>
      </c>
      <c r="B5" s="2">
        <v>0.23621776999999999</v>
      </c>
      <c r="C5" s="2">
        <v>8.4407568000000002E-2</v>
      </c>
      <c r="D5" s="2">
        <v>5.0054856000000002E-2</v>
      </c>
      <c r="E5" s="2">
        <v>0.41353539</v>
      </c>
      <c r="F5">
        <v>31840</v>
      </c>
    </row>
    <row r="6" spans="1:6" x14ac:dyDescent="0.25">
      <c r="A6">
        <v>75105</v>
      </c>
      <c r="B6" s="2">
        <v>0.26053119000000002</v>
      </c>
      <c r="C6" s="2">
        <v>7.8619680999999997E-2</v>
      </c>
      <c r="D6" s="2">
        <v>4.4509206000000003E-2</v>
      </c>
      <c r="E6" s="2">
        <v>0.38819712000000001</v>
      </c>
      <c r="F6">
        <v>34520</v>
      </c>
    </row>
    <row r="7" spans="1:6" x14ac:dyDescent="0.25">
      <c r="A7">
        <v>75106</v>
      </c>
      <c r="B7" s="2">
        <v>0.15191515</v>
      </c>
      <c r="C7" s="2">
        <v>0.10522903</v>
      </c>
      <c r="D7" s="2">
        <v>4.0016674000000002E-2</v>
      </c>
      <c r="E7" s="2">
        <v>0.47621693999999998</v>
      </c>
      <c r="F7">
        <v>40490</v>
      </c>
    </row>
    <row r="8" spans="1:6" x14ac:dyDescent="0.25">
      <c r="A8">
        <v>75107</v>
      </c>
      <c r="B8" s="2">
        <v>9.7336218000000002E-2</v>
      </c>
      <c r="C8" s="2">
        <v>0.13919564000000001</v>
      </c>
      <c r="D8" s="2">
        <v>5.2678704E-2</v>
      </c>
      <c r="E8" s="2">
        <v>0.48466647000000002</v>
      </c>
      <c r="F8">
        <v>44400</v>
      </c>
    </row>
    <row r="9" spans="1:6" x14ac:dyDescent="0.25">
      <c r="A9">
        <v>75108</v>
      </c>
      <c r="B9" s="2">
        <v>0.11547193</v>
      </c>
      <c r="C9" s="2">
        <v>0.15315543000000001</v>
      </c>
      <c r="D9" s="2">
        <v>5.4583061000000002E-2</v>
      </c>
      <c r="E9" s="2">
        <v>0.4675377</v>
      </c>
      <c r="F9">
        <v>43230</v>
      </c>
    </row>
    <row r="10" spans="1:6" x14ac:dyDescent="0.25">
      <c r="A10">
        <v>75109</v>
      </c>
      <c r="B10" s="2">
        <v>0.23498678000000001</v>
      </c>
      <c r="C10" s="2">
        <v>7.2745711000000005E-2</v>
      </c>
      <c r="D10" s="2">
        <v>4.0045484999999999E-2</v>
      </c>
      <c r="E10" s="2">
        <v>0.43736553</v>
      </c>
      <c r="F10">
        <v>35880</v>
      </c>
    </row>
    <row r="11" spans="1:6" x14ac:dyDescent="0.25">
      <c r="A11">
        <v>75110</v>
      </c>
      <c r="B11" s="2">
        <v>0.38448510000000002</v>
      </c>
      <c r="C11" s="2">
        <v>5.2212328000000002E-2</v>
      </c>
      <c r="D11" s="2">
        <v>4.2392473999999999E-2</v>
      </c>
      <c r="E11" s="2">
        <v>0.31467025999999998</v>
      </c>
      <c r="F11">
        <v>27810</v>
      </c>
    </row>
    <row r="12" spans="1:6" x14ac:dyDescent="0.25">
      <c r="A12">
        <v>75111</v>
      </c>
      <c r="B12" s="2">
        <v>0.36263185999999997</v>
      </c>
      <c r="C12" s="2">
        <v>4.9878280999999997E-2</v>
      </c>
      <c r="D12" s="2">
        <v>4.2750879999999998E-2</v>
      </c>
      <c r="E12" s="2">
        <v>0.32836082999999999</v>
      </c>
      <c r="F12">
        <v>28750</v>
      </c>
    </row>
    <row r="13" spans="1:6" x14ac:dyDescent="0.25">
      <c r="A13">
        <v>75112</v>
      </c>
      <c r="B13" s="2">
        <v>0.31752929000000002</v>
      </c>
      <c r="C13" s="2">
        <v>7.0898689000000001E-2</v>
      </c>
      <c r="D13" s="2">
        <v>6.0309189999999999E-2</v>
      </c>
      <c r="E13" s="2">
        <v>0.32851520000000001</v>
      </c>
      <c r="F13">
        <v>29040</v>
      </c>
    </row>
    <row r="14" spans="1:6" x14ac:dyDescent="0.25">
      <c r="A14">
        <v>75113</v>
      </c>
      <c r="B14" s="2">
        <v>0.36127046000000002</v>
      </c>
      <c r="C14" s="2">
        <v>6.2625341000000001E-2</v>
      </c>
      <c r="D14" s="2">
        <v>6.6379830000000001E-2</v>
      </c>
      <c r="E14" s="2">
        <v>0.29955459000000001</v>
      </c>
      <c r="F14">
        <v>24970</v>
      </c>
    </row>
    <row r="15" spans="1:6" x14ac:dyDescent="0.25">
      <c r="A15">
        <v>75114</v>
      </c>
      <c r="B15" s="2">
        <v>0.30073245999999998</v>
      </c>
      <c r="C15" s="2">
        <v>6.6702685999999997E-2</v>
      </c>
      <c r="D15" s="2">
        <v>5.7381723000000003E-2</v>
      </c>
      <c r="E15" s="2">
        <v>0.35050430999999999</v>
      </c>
      <c r="F15">
        <v>28480</v>
      </c>
    </row>
    <row r="16" spans="1:6" x14ac:dyDescent="0.25">
      <c r="A16">
        <v>75115</v>
      </c>
      <c r="B16" s="2">
        <v>0.20601264</v>
      </c>
      <c r="C16" s="2">
        <v>9.7884893000000001E-2</v>
      </c>
      <c r="D16" s="2">
        <v>6.2980406000000003E-2</v>
      </c>
      <c r="E16" s="2">
        <v>0.40259658999999998</v>
      </c>
      <c r="F16">
        <v>31930</v>
      </c>
    </row>
    <row r="17" spans="1:6" x14ac:dyDescent="0.25">
      <c r="A17">
        <v>75116</v>
      </c>
      <c r="B17" s="2">
        <v>9.0228855999999996E-2</v>
      </c>
      <c r="C17" s="2">
        <v>0.17480393</v>
      </c>
      <c r="D17" s="2">
        <v>5.7967469000000001E-2</v>
      </c>
      <c r="E17" s="2">
        <v>0.46753897999999999</v>
      </c>
      <c r="F17">
        <v>40300</v>
      </c>
    </row>
    <row r="18" spans="1:6" x14ac:dyDescent="0.25">
      <c r="A18">
        <v>75117</v>
      </c>
      <c r="B18" s="2">
        <v>0.20496060999999999</v>
      </c>
      <c r="C18" s="2">
        <v>0.10886263</v>
      </c>
      <c r="D18" s="2">
        <v>5.2720334000000001E-2</v>
      </c>
      <c r="E18" s="2">
        <v>0.42349827000000001</v>
      </c>
      <c r="F18">
        <v>32120</v>
      </c>
    </row>
    <row r="19" spans="1:6" x14ac:dyDescent="0.25">
      <c r="A19">
        <v>75118</v>
      </c>
      <c r="B19" s="2">
        <v>0.4170295</v>
      </c>
      <c r="C19" s="2">
        <v>4.6812288000000001E-2</v>
      </c>
      <c r="D19" s="2">
        <v>5.0704192000000002E-2</v>
      </c>
      <c r="E19" s="2">
        <v>0.2903116</v>
      </c>
      <c r="F19">
        <v>23650</v>
      </c>
    </row>
    <row r="20" spans="1:6" x14ac:dyDescent="0.25">
      <c r="A20">
        <v>75119</v>
      </c>
      <c r="B20" s="2">
        <v>0.46512341000000001</v>
      </c>
      <c r="C20" s="2">
        <v>6.8793960000000001E-2</v>
      </c>
      <c r="D20" s="2">
        <v>5.2947946000000003E-2</v>
      </c>
      <c r="E20" s="2">
        <v>0.23867503000000001</v>
      </c>
      <c r="F20">
        <v>21460</v>
      </c>
    </row>
    <row r="21" spans="1:6" x14ac:dyDescent="0.25">
      <c r="A21">
        <v>75120</v>
      </c>
      <c r="B21" s="2">
        <v>0.47169318999999998</v>
      </c>
      <c r="C21" s="2">
        <v>5.0620842999999999E-2</v>
      </c>
      <c r="D21" s="2">
        <v>5.5592126999999998E-2</v>
      </c>
      <c r="E21" s="2">
        <v>0.23706672000000001</v>
      </c>
      <c r="F21">
        <v>22510</v>
      </c>
    </row>
    <row r="22" spans="1:6" x14ac:dyDescent="0.25">
      <c r="A22" t="s">
        <v>2</v>
      </c>
      <c r="B22" t="s">
        <v>9</v>
      </c>
      <c r="C22" s="1" t="s">
        <v>8</v>
      </c>
    </row>
    <row r="23" spans="1:6" x14ac:dyDescent="0.25">
      <c r="B23" t="s">
        <v>3</v>
      </c>
    </row>
  </sheetData>
  <hyperlinks>
    <hyperlink ref="C22" r:id="rId1" display="https://unehistoireduconflitpolitique.fr/ Piketty et Cagé 2023" xr:uid="{3ABC78AA-5054-4E87-A825-76D9B8888A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CE8F-0426-46D0-BB58-4D585E5DF976}">
  <dimension ref="A1:G16"/>
  <sheetViews>
    <sheetView zoomScale="85" zoomScaleNormal="85" workbookViewId="0">
      <selection sqref="A1:F1"/>
    </sheetView>
  </sheetViews>
  <sheetFormatPr baseColWidth="10" defaultRowHeight="15" x14ac:dyDescent="0.25"/>
  <cols>
    <col min="1" max="1" width="23.85546875" bestFit="1" customWidth="1"/>
    <col min="2" max="2" width="12.42578125" bestFit="1" customWidth="1"/>
    <col min="3" max="5" width="10.7109375" bestFit="1" customWidth="1"/>
    <col min="6" max="6" width="19.28515625" bestFit="1" customWidth="1"/>
  </cols>
  <sheetData>
    <row r="1" spans="1:7" x14ac:dyDescent="0.25">
      <c r="A1" t="s">
        <v>10</v>
      </c>
      <c r="B1" t="s">
        <v>11</v>
      </c>
      <c r="C1" t="s">
        <v>12</v>
      </c>
      <c r="D1" t="s">
        <v>13</v>
      </c>
      <c r="E1" t="s">
        <v>14</v>
      </c>
      <c r="F1" t="s">
        <v>26</v>
      </c>
    </row>
    <row r="2" spans="1:7" x14ac:dyDescent="0.25">
      <c r="A2" t="s">
        <v>15</v>
      </c>
      <c r="B2" s="4">
        <f>MIN('Données et consignes'!B$2:B$21)</f>
        <v>9.0228855999999996E-2</v>
      </c>
      <c r="C2" s="4">
        <f>MIN('Données et consignes'!C$2:C$21)</f>
        <v>4.6812288000000001E-2</v>
      </c>
      <c r="D2" s="4">
        <f>MIN('Données et consignes'!D$2:D$21)</f>
        <v>3.7739079000000002E-2</v>
      </c>
      <c r="E2" s="4">
        <f>MIN('Données et consignes'!E$2:E$21)</f>
        <v>0.23706672000000001</v>
      </c>
      <c r="F2" s="5">
        <f>MIN('Données et consignes'!F$2:F$21)</f>
        <v>21460</v>
      </c>
    </row>
    <row r="3" spans="1:7" x14ac:dyDescent="0.25">
      <c r="A3" t="s">
        <v>18</v>
      </c>
      <c r="B3" s="2">
        <f>_xlfn.QUARTILE.EXC('Données et consignes'!B$2:B$21,1)</f>
        <v>0.20522361749999998</v>
      </c>
      <c r="C3" s="2">
        <f>_xlfn.QUARTILE.EXC('Données et consignes'!C$2:C$21,1)</f>
        <v>6.04036955E-2</v>
      </c>
      <c r="D3" s="2">
        <f>_xlfn.QUARTILE.EXC('Données et consignes'!D$2:D$21,1)</f>
        <v>4.30177765E-2</v>
      </c>
      <c r="E3" s="2">
        <f>_xlfn.QUARTILE.EXC('Données et consignes'!E$2:E$21,1)</f>
        <v>0.3180929025</v>
      </c>
      <c r="F3" s="5">
        <f>_xlfn.QUARTILE.EXC('Données et consignes'!F$2:F$21,1)</f>
        <v>27977.5</v>
      </c>
    </row>
    <row r="4" spans="1:7" x14ac:dyDescent="0.25">
      <c r="A4" t="s">
        <v>27</v>
      </c>
      <c r="B4" s="2">
        <f>MEDIAN('Données et consignes'!B$2:B$21)</f>
        <v>0.25427149999999998</v>
      </c>
      <c r="C4" s="2">
        <f>MEDIAN('Données et consignes'!C$2:C$21)</f>
        <v>7.1822200000000003E-2</v>
      </c>
      <c r="D4" s="2">
        <f>MEDIAN('Données et consignes'!D$2:D$21)</f>
        <v>5.2699519E-2</v>
      </c>
      <c r="E4" s="2">
        <f>MEDIAN('Données et consignes'!E$2:E$21)</f>
        <v>0.40806598999999999</v>
      </c>
      <c r="F4" s="5">
        <f>MEDIAN('Données et consignes'!F$2:F$21)</f>
        <v>32025</v>
      </c>
    </row>
    <row r="5" spans="1:7" x14ac:dyDescent="0.25">
      <c r="A5" t="s">
        <v>19</v>
      </c>
      <c r="B5" s="2">
        <f>_xlfn.QUARTILE.EXC('Données et consignes'!B$2:B$21,3)</f>
        <v>0.36229150999999998</v>
      </c>
      <c r="C5" s="2">
        <f>_xlfn.QUARTILE.EXC('Données et consignes'!C$2:C$21,3)</f>
        <v>0.10339299574999999</v>
      </c>
      <c r="D5" s="2">
        <f>_xlfn.QUARTILE.EXC('Données et consignes'!D$2:D$21,3)</f>
        <v>5.7821032500000001E-2</v>
      </c>
      <c r="E5" s="2">
        <f>_xlfn.QUARTILE.EXC('Données et consignes'!E$2:E$21,3)</f>
        <v>0.4368338725</v>
      </c>
      <c r="F5" s="5">
        <f>_xlfn.QUARTILE.EXC('Données et consignes'!F$2:F$21,3)</f>
        <v>35590</v>
      </c>
    </row>
    <row r="6" spans="1:7" x14ac:dyDescent="0.25">
      <c r="A6" t="s">
        <v>16</v>
      </c>
      <c r="B6" s="4">
        <f>MAX('Données et consignes'!B$2:B$21)</f>
        <v>0.47169318999999998</v>
      </c>
      <c r="C6" s="4">
        <f>MAX('Données et consignes'!C$2:C$21)</f>
        <v>0.17480393</v>
      </c>
      <c r="D6" s="4">
        <f>MAX('Données et consignes'!D$2:D$21)</f>
        <v>6.6379830000000001E-2</v>
      </c>
      <c r="E6" s="4">
        <f>MAX('Données et consignes'!E$2:E$21)</f>
        <v>0.48466647000000002</v>
      </c>
      <c r="F6" s="5">
        <f>MAX('Données et consignes'!F$2:F$21)</f>
        <v>44400</v>
      </c>
    </row>
    <row r="7" spans="1:7" x14ac:dyDescent="0.25">
      <c r="A7" t="s">
        <v>17</v>
      </c>
      <c r="B7" s="4">
        <f>B6-B2</f>
        <v>0.38146433400000002</v>
      </c>
      <c r="C7" s="4">
        <f t="shared" ref="C7:F7" si="0">C6-C2</f>
        <v>0.12799164199999999</v>
      </c>
      <c r="D7" s="4">
        <f t="shared" si="0"/>
        <v>2.8640750999999999E-2</v>
      </c>
      <c r="E7" s="4">
        <f t="shared" si="0"/>
        <v>0.24759975000000001</v>
      </c>
      <c r="F7" s="5">
        <f t="shared" si="0"/>
        <v>22940</v>
      </c>
    </row>
    <row r="8" spans="1:7" x14ac:dyDescent="0.25">
      <c r="A8" t="s">
        <v>20</v>
      </c>
      <c r="B8" s="2">
        <f>B5-B3</f>
        <v>0.1570678925</v>
      </c>
      <c r="C8" s="2">
        <f t="shared" ref="C8:F8" si="1">C5-C3</f>
        <v>4.2989300249999994E-2</v>
      </c>
      <c r="D8" s="2">
        <f t="shared" si="1"/>
        <v>1.4803256000000001E-2</v>
      </c>
      <c r="E8" s="2">
        <f t="shared" si="1"/>
        <v>0.11874097</v>
      </c>
      <c r="F8" s="5">
        <f t="shared" si="1"/>
        <v>7612.5</v>
      </c>
    </row>
    <row r="9" spans="1:7" x14ac:dyDescent="0.25">
      <c r="A9" t="s">
        <v>21</v>
      </c>
      <c r="B9" s="2">
        <f>(B5-B3)/B4</f>
        <v>0.61771725301498603</v>
      </c>
      <c r="C9" s="2">
        <f t="shared" ref="C9:F9" si="2">(C5-C3)/C4</f>
        <v>0.59855170476537889</v>
      </c>
      <c r="D9" s="2">
        <f t="shared" si="2"/>
        <v>0.28089926209762939</v>
      </c>
      <c r="E9" s="2">
        <f t="shared" si="2"/>
        <v>0.29098472528916219</v>
      </c>
      <c r="F9" s="2">
        <f t="shared" si="2"/>
        <v>0.23770491803278687</v>
      </c>
    </row>
    <row r="10" spans="1:7" x14ac:dyDescent="0.25">
      <c r="A10" t="s">
        <v>22</v>
      </c>
      <c r="B10" s="4">
        <f>B5/B3</f>
        <v>1.7653499846332259</v>
      </c>
      <c r="C10" s="4">
        <f t="shared" ref="C10:F10" si="3">C5/C3</f>
        <v>1.7116998371399312</v>
      </c>
      <c r="D10" s="4">
        <f t="shared" si="3"/>
        <v>1.3441195060372308</v>
      </c>
      <c r="E10" s="4">
        <f t="shared" si="3"/>
        <v>1.37329022140002</v>
      </c>
      <c r="F10" s="4">
        <f t="shared" si="3"/>
        <v>1.2720936466803681</v>
      </c>
    </row>
    <row r="11" spans="1:7" x14ac:dyDescent="0.25">
      <c r="A11" t="s">
        <v>23</v>
      </c>
      <c r="B11" s="2">
        <f>_xlfn.VAR.S('Données et consignes'!B$2:B$21)</f>
        <v>1.3064654391368601E-2</v>
      </c>
      <c r="C11" s="2">
        <f>_xlfn.VAR.S('Données et consignes'!C$2:C$21)</f>
        <v>1.271061129496947E-3</v>
      </c>
      <c r="D11" s="2">
        <f>_xlfn.VAR.S('Données et consignes'!D$2:D$21)</f>
        <v>6.9129849834727094E-5</v>
      </c>
      <c r="E11" s="2">
        <f>_xlfn.VAR.S('Données et consignes'!E$2:E$21)</f>
        <v>6.1015348094937607E-3</v>
      </c>
      <c r="F11" s="5">
        <f>_xlfn.VAR.S('Données et consignes'!F$2:F$21)</f>
        <v>43256583.157894738</v>
      </c>
    </row>
    <row r="12" spans="1:7" x14ac:dyDescent="0.25">
      <c r="A12" t="s">
        <v>24</v>
      </c>
      <c r="B12" s="2">
        <f>_xlfn.STDEV.S('Données et consignes'!B$2:B$21)</f>
        <v>0.11430071912008516</v>
      </c>
      <c r="C12" s="2">
        <f>_xlfn.STDEV.S('Données et consignes'!C$2:C$21)</f>
        <v>3.5651944259702681E-2</v>
      </c>
      <c r="D12" s="2">
        <f>_xlfn.STDEV.S('Données et consignes'!D$2:D$21)</f>
        <v>8.3144362307210635E-3</v>
      </c>
      <c r="E12" s="2">
        <f>_xlfn.STDEV.S('Données et consignes'!E$2:E$21)</f>
        <v>7.8112321752037056E-2</v>
      </c>
      <c r="F12" s="5">
        <f>_xlfn.STDEV.S('Données et consignes'!F$2:F$21)</f>
        <v>6576.973708165081</v>
      </c>
    </row>
    <row r="13" spans="1:7" x14ac:dyDescent="0.25">
      <c r="A13" t="s">
        <v>25</v>
      </c>
      <c r="B13" s="4">
        <f>B12/AVERAGE('Données et consignes'!B$2:B$21)</f>
        <v>0.42341966493731409</v>
      </c>
      <c r="C13" s="4">
        <f>C12/AVERAGE('Données et consignes'!C$2:C$21)</f>
        <v>0.417946577176598</v>
      </c>
      <c r="D13" s="4">
        <f>D12/AVERAGE('Données et consignes'!D$2:D$21)</f>
        <v>0.16232429618438265</v>
      </c>
      <c r="E13" s="4">
        <f>E12/AVERAGE('Données et consignes'!E$2:E$21)</f>
        <v>0.20432514158401033</v>
      </c>
      <c r="F13" s="4">
        <f>F12/AVERAGE('Données et consignes'!F$2:F$21)</f>
        <v>0.20478807162053433</v>
      </c>
    </row>
    <row r="16" spans="1:7" x14ac:dyDescent="0.25">
      <c r="G1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412B0-1E2D-44A5-B5B7-60D0253FC938}">
  <dimension ref="A1:F4"/>
  <sheetViews>
    <sheetView workbookViewId="0">
      <selection activeCell="D11" sqref="D11"/>
    </sheetView>
  </sheetViews>
  <sheetFormatPr baseColWidth="10" defaultRowHeight="15" x14ac:dyDescent="0.25"/>
  <cols>
    <col min="1" max="1" width="16.42578125" bestFit="1" customWidth="1"/>
    <col min="2" max="6" width="11.5703125" customWidth="1"/>
  </cols>
  <sheetData>
    <row r="1" spans="1:6" x14ac:dyDescent="0.25">
      <c r="A1" t="s">
        <v>10</v>
      </c>
      <c r="B1" s="6" t="s">
        <v>11</v>
      </c>
      <c r="C1" s="6" t="s">
        <v>12</v>
      </c>
      <c r="D1" s="6" t="s">
        <v>13</v>
      </c>
      <c r="E1" s="6" t="s">
        <v>14</v>
      </c>
      <c r="F1" s="6"/>
    </row>
    <row r="2" spans="1:6" x14ac:dyDescent="0.25">
      <c r="A2" t="s">
        <v>28</v>
      </c>
      <c r="B2">
        <f>_xlfn.COVARIANCE.P('Données et consignes'!B$2:B$21,'Données et consignes'!$F$2:$F$21)</f>
        <v>-679.23741010819981</v>
      </c>
      <c r="C2">
        <f>_xlfn.COVARIANCE.P('Données et consignes'!C$2:C$21,'Données et consignes'!$F$2:$F$21)</f>
        <v>179.74639103740003</v>
      </c>
      <c r="D2">
        <f>_xlfn.COVARIANCE.P('Données et consignes'!D$2:D$21,'Données et consignes'!$F$2:$F$21)</f>
        <v>-9.7628558664999989</v>
      </c>
      <c r="E2">
        <f>_xlfn.COVARIANCE.P('Données et consignes'!E$2:E$21,'Données et consignes'!$F$2:$F$21)</f>
        <v>458.62396413699997</v>
      </c>
    </row>
    <row r="3" spans="1:6" x14ac:dyDescent="0.25">
      <c r="A3" t="s">
        <v>29</v>
      </c>
      <c r="B3" s="7">
        <f>CORREL('Données et consignes'!B$2:B$21,'Données et consignes'!$F$2:$F$21)</f>
        <v>-0.95109286483836419</v>
      </c>
      <c r="C3" s="7">
        <f>CORREL('Données et consignes'!C$2:C$21,'Données et consignes'!$F$2:$F$21)</f>
        <v>0.80691399794474761</v>
      </c>
      <c r="D3" s="7">
        <f>CORREL('Données et consignes'!D$2:D$21,'Données et consignes'!$F$2:$F$21)</f>
        <v>-0.18792924105720019</v>
      </c>
      <c r="E3" s="7">
        <f>CORREL('Données et consignes'!E$2:E$21,'Données et consignes'!$F$2:$F$21)</f>
        <v>0.93969623363690113</v>
      </c>
    </row>
    <row r="4" spans="1:6" x14ac:dyDescent="0.25">
      <c r="A4" t="s">
        <v>30</v>
      </c>
      <c r="B4" s="7">
        <f>B3^2</f>
        <v>0.90457763754644693</v>
      </c>
      <c r="C4" s="7">
        <f t="shared" ref="C4:E4" si="0">C3^2</f>
        <v>0.65111020007917619</v>
      </c>
      <c r="D4" s="7">
        <f t="shared" si="0"/>
        <v>3.5317399644335258E-2</v>
      </c>
      <c r="E4" s="7">
        <f t="shared" si="0"/>
        <v>0.88302901151137747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6D88-9351-474B-9BF0-CD50B5ACDC1D}">
  <dimension ref="A1"/>
  <sheetViews>
    <sheetView workbookViewId="0"/>
  </sheetViews>
  <sheetFormatPr baseColWidth="10"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42A2-277D-40B8-8E8F-B703FEB84D65}">
  <dimension ref="A1"/>
  <sheetViews>
    <sheetView workbookViewId="0">
      <selection activeCell="H17" sqref="H17"/>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Graphiques</vt:lpstr>
      </vt:variant>
      <vt:variant>
        <vt:i4>1</vt:i4>
      </vt:variant>
    </vt:vector>
  </HeadingPairs>
  <TitlesOfParts>
    <vt:vector size="6" baseType="lpstr">
      <vt:lpstr>Données et consignes</vt:lpstr>
      <vt:lpstr>Q1</vt:lpstr>
      <vt:lpstr>Q2</vt:lpstr>
      <vt:lpstr>Abstention et classes sociales</vt:lpstr>
      <vt:lpstr>PCS, gauche, droite</vt:lpstr>
      <vt:lpstr>Q3_G</vt:lpstr>
    </vt:vector>
  </TitlesOfParts>
  <Company>Université Paris 1 Panthéon Sorbonne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Anonyme</dc:creator>
  <cp:lastModifiedBy>Marc O'FLAHERTY</cp:lastModifiedBy>
  <dcterms:created xsi:type="dcterms:W3CDTF">2022-03-30T09:48:19Z</dcterms:created>
  <dcterms:modified xsi:type="dcterms:W3CDTF">2026-02-19T14:51:05Z</dcterms:modified>
</cp:coreProperties>
</file>