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chartsheets/sheet3.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187997\Downloads\"/>
    </mc:Choice>
  </mc:AlternateContent>
  <xr:revisionPtr revIDLastSave="0" documentId="13_ncr:1_{23780ABB-38D9-4326-94B0-BF12708C395A}" xr6:coauthVersionLast="47" xr6:coauthVersionMax="47" xr10:uidLastSave="{00000000-0000-0000-0000-000000000000}"/>
  <bookViews>
    <workbookView xWindow="-108" yWindow="-108" windowWidth="23256" windowHeight="13896" tabRatio="500" firstSheet="5" activeTab="14" xr2:uid="{00000000-000D-0000-FFFF-FFFF00000000}"/>
  </bookViews>
  <sheets>
    <sheet name="Dataset" sheetId="1" r:id="rId1"/>
    <sheet name="Q1" sheetId="2" r:id="rId2"/>
    <sheet name="Q2" sheetId="3" r:id="rId3"/>
    <sheet name="Q3" sheetId="4" r:id="rId4"/>
    <sheet name="Q4" sheetId="14" r:id="rId5"/>
    <sheet name="Q4_G" sheetId="6" r:id="rId6"/>
    <sheet name="Q5" sheetId="7" r:id="rId7"/>
    <sheet name="Q5_G" sheetId="13" r:id="rId8"/>
    <sheet name="Q6" sheetId="8" r:id="rId9"/>
    <sheet name="Q6_G" sheetId="12" r:id="rId10"/>
    <sheet name="Q7" sheetId="9" r:id="rId11"/>
    <sheet name="Q8" sheetId="10" r:id="rId12"/>
    <sheet name="Q8_G" sheetId="11" r:id="rId13"/>
    <sheet name="Q9" sheetId="17" r:id="rId14"/>
    <sheet name="Q10" sheetId="16" r:id="rId15"/>
  </sheets>
  <definedNames>
    <definedName name="_xlnm._FilterDatabase" localSheetId="6" hidden="1">'Q5'!$A$1:$B$44</definedName>
    <definedName name="_xlnm._FilterDatabase" localSheetId="11" hidden="1">'Q8'!$A$1:$C$45</definedName>
    <definedName name="_xlchart.v1.0" hidden="1">Dataset!$D$1</definedName>
    <definedName name="_xlchart.v1.1" hidden="1">Dataset!$D$2:$D$45</definedName>
    <definedName name="_xlchart.v1.2" hidden="1">'Q6'!$A$2:$A$45</definedName>
    <definedName name="_xlchart.v1.3" hidden="1">'Q6'!$B$1</definedName>
    <definedName name="_xlchart.v1.4" hidden="1">'Q6'!$B$2:$B$45</definedName>
    <definedName name="_xlchart.v1.5" hidden="1">'Q6'!$A$2:$A$45</definedName>
    <definedName name="_xlchart.v1.6" hidden="1">'Q6'!$B$1</definedName>
    <definedName name="_xlchart.v1.7" hidden="1">'Q6'!$B$2:$B$45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D2" i="16" l="1"/>
  <c r="J6" i="16"/>
  <c r="B47" i="10"/>
  <c r="B46" i="10"/>
  <c r="J7" i="16"/>
  <c r="D3" i="16"/>
  <c r="C3" i="9"/>
  <c r="D3" i="9"/>
  <c r="E3" i="9"/>
  <c r="F3" i="9"/>
  <c r="D2" i="9"/>
  <c r="B3" i="9"/>
  <c r="C2" i="9"/>
  <c r="E2" i="9"/>
  <c r="F2" i="9"/>
  <c r="B2" i="9"/>
  <c r="D15" i="16"/>
  <c r="D42" i="16"/>
  <c r="D28" i="16"/>
  <c r="D14" i="16"/>
  <c r="D41" i="16"/>
  <c r="D27" i="16"/>
  <c r="D13" i="16"/>
  <c r="D40" i="16"/>
  <c r="D26" i="16"/>
  <c r="D12" i="16"/>
  <c r="D43" i="16"/>
  <c r="D29" i="16"/>
  <c r="D11" i="16"/>
  <c r="D38" i="16"/>
  <c r="D24" i="16"/>
  <c r="D10" i="16"/>
  <c r="D44" i="16"/>
  <c r="D30" i="16"/>
  <c r="D16" i="16"/>
  <c r="D9" i="16"/>
  <c r="D36" i="16"/>
  <c r="D22" i="16"/>
  <c r="D8" i="16"/>
  <c r="D35" i="16"/>
  <c r="D21" i="16"/>
  <c r="D7" i="16"/>
  <c r="D34" i="16"/>
  <c r="D20" i="16"/>
  <c r="D6" i="16"/>
  <c r="D37" i="16"/>
  <c r="D23" i="16"/>
  <c r="D5" i="16"/>
  <c r="D33" i="16"/>
  <c r="D19" i="16"/>
  <c r="D32" i="16"/>
  <c r="D18" i="16"/>
  <c r="D4" i="16"/>
  <c r="D39" i="16"/>
  <c r="D25" i="16"/>
  <c r="D45" i="16"/>
  <c r="D31" i="16"/>
  <c r="D17" i="16"/>
  <c r="D8" i="4"/>
  <c r="E8" i="4"/>
  <c r="F8" i="4"/>
  <c r="G8" i="4"/>
  <c r="B8" i="4"/>
  <c r="C8" i="4"/>
  <c r="C4" i="4"/>
  <c r="D4" i="4"/>
  <c r="E4" i="4"/>
  <c r="F4" i="4"/>
  <c r="G4" i="4"/>
  <c r="B4" i="4"/>
  <c r="C5" i="4"/>
  <c r="D5" i="4"/>
  <c r="E5" i="4"/>
  <c r="F5" i="4"/>
  <c r="G5" i="4"/>
  <c r="C6" i="4"/>
  <c r="D6" i="4"/>
  <c r="E6" i="4"/>
  <c r="F6" i="4"/>
  <c r="G6" i="4"/>
  <c r="C7" i="4"/>
  <c r="D7" i="4"/>
  <c r="E7" i="4"/>
  <c r="F7" i="4"/>
  <c r="G7" i="4"/>
  <c r="B7" i="4"/>
  <c r="B6" i="4"/>
  <c r="B5" i="4"/>
  <c r="C2" i="4"/>
  <c r="D2" i="4"/>
  <c r="E2" i="4"/>
  <c r="F2" i="4"/>
  <c r="G2" i="4"/>
  <c r="B2" i="4"/>
  <c r="C4" i="3"/>
  <c r="D4" i="3"/>
  <c r="E4" i="3"/>
  <c r="F4" i="3"/>
  <c r="G4" i="3"/>
  <c r="B4" i="3"/>
  <c r="E3" i="3"/>
  <c r="F3" i="3"/>
  <c r="G3" i="3"/>
  <c r="B3" i="3"/>
  <c r="C3" i="3"/>
  <c r="D3" i="3"/>
  <c r="C2" i="3"/>
  <c r="D2" i="3"/>
  <c r="E2" i="3"/>
  <c r="F2" i="3"/>
  <c r="G2" i="3"/>
  <c r="B2" i="3"/>
  <c r="J8" i="16"/>
</calcChain>
</file>

<file path=xl/sharedStrings.xml><?xml version="1.0" encoding="utf-8"?>
<sst xmlns="http://schemas.openxmlformats.org/spreadsheetml/2006/main" count="492" uniqueCount="184">
  <si>
    <t>Pays</t>
  </si>
  <si>
    <t>IDH 2017</t>
  </si>
  <si>
    <t>PIB/tête (2017)</t>
  </si>
  <si>
    <t>Esp Vie Naiss 2017</t>
  </si>
  <si>
    <t>Années éducation (2017)</t>
  </si>
  <si>
    <t>Population totale (2017)</t>
  </si>
  <si>
    <t>Ratio Palma</t>
  </si>
  <si>
    <t>iso3</t>
  </si>
  <si>
    <t>country</t>
  </si>
  <si>
    <t>Albanie</t>
  </si>
  <si>
    <t>ALB</t>
  </si>
  <si>
    <t>Albania</t>
  </si>
  <si>
    <t>Algérie</t>
  </si>
  <si>
    <t>DZA</t>
  </si>
  <si>
    <t>Algeria</t>
  </si>
  <si>
    <t>Allemagne</t>
  </si>
  <si>
    <t>DEU</t>
  </si>
  <si>
    <t>Germany</t>
  </si>
  <si>
    <t>Belgique</t>
  </si>
  <si>
    <t>BEL</t>
  </si>
  <si>
    <t>Belgium</t>
  </si>
  <si>
    <t>Cameroun</t>
  </si>
  <si>
    <t>CMR</t>
  </si>
  <si>
    <t>Cameroon</t>
  </si>
  <si>
    <t>Congo</t>
  </si>
  <si>
    <t>COG</t>
  </si>
  <si>
    <t>Congo (République démocratique du)</t>
  </si>
  <si>
    <t>COD</t>
  </si>
  <si>
    <t>Congo (Democratic Republic of the)</t>
  </si>
  <si>
    <t>Côte d'Ivoire</t>
  </si>
  <si>
    <t>CIV</t>
  </si>
  <si>
    <t>Croatie</t>
  </si>
  <si>
    <t>HRV</t>
  </si>
  <si>
    <t>Croatia</t>
  </si>
  <si>
    <t>Danemark</t>
  </si>
  <si>
    <t>DNK</t>
  </si>
  <si>
    <t>Denmark</t>
  </si>
  <si>
    <t>Espagne</t>
  </si>
  <si>
    <t>ESP</t>
  </si>
  <si>
    <t>Spain</t>
  </si>
  <si>
    <t>Éthiopie</t>
  </si>
  <si>
    <t>ETH</t>
  </si>
  <si>
    <t>Ethiopia</t>
  </si>
  <si>
    <t>Finlande</t>
  </si>
  <si>
    <t>FIN</t>
  </si>
  <si>
    <t>Finland</t>
  </si>
  <si>
    <t>France</t>
  </si>
  <si>
    <t>FRA</t>
  </si>
  <si>
    <t>Gabon</t>
  </si>
  <si>
    <t>GAB</t>
  </si>
  <si>
    <t>Grèce</t>
  </si>
  <si>
    <t>GRC</t>
  </si>
  <si>
    <t>Greece</t>
  </si>
  <si>
    <t>Guinée</t>
  </si>
  <si>
    <t>GIN</t>
  </si>
  <si>
    <t>Guinea</t>
  </si>
  <si>
    <t>Guinée équatoriale</t>
  </si>
  <si>
    <t>GNQ</t>
  </si>
  <si>
    <t>Equatorial Guinea</t>
  </si>
  <si>
    <t>Hongrie</t>
  </si>
  <si>
    <t>HUN</t>
  </si>
  <si>
    <t>Hungary</t>
  </si>
  <si>
    <t>Israël</t>
  </si>
  <si>
    <t>ISR</t>
  </si>
  <si>
    <t>Israel</t>
  </si>
  <si>
    <t>Italie</t>
  </si>
  <si>
    <t>ITA</t>
  </si>
  <si>
    <t>Italy</t>
  </si>
  <si>
    <t>Jordanie</t>
  </si>
  <si>
    <t>JOR</t>
  </si>
  <si>
    <t>Jordan</t>
  </si>
  <si>
    <t>Liban</t>
  </si>
  <si>
    <t>LBN</t>
  </si>
  <si>
    <t>Lebanon</t>
  </si>
  <si>
    <t>Libye</t>
  </si>
  <si>
    <t>LBY</t>
  </si>
  <si>
    <t>Libya</t>
  </si>
  <si>
    <t>Madagascar</t>
  </si>
  <si>
    <t>MDG</t>
  </si>
  <si>
    <t>Mali</t>
  </si>
  <si>
    <t>MLI</t>
  </si>
  <si>
    <t>Maroc</t>
  </si>
  <si>
    <t>MAR</t>
  </si>
  <si>
    <t>Morocco</t>
  </si>
  <si>
    <t>Mauritanie</t>
  </si>
  <si>
    <t>MRT</t>
  </si>
  <si>
    <t>Mauritania</t>
  </si>
  <si>
    <t>Niger</t>
  </si>
  <si>
    <t>NER</t>
  </si>
  <si>
    <t>Norvège</t>
  </si>
  <si>
    <t>NOR</t>
  </si>
  <si>
    <t>Norway</t>
  </si>
  <si>
    <t>Pays-Bas</t>
  </si>
  <si>
    <t>NLD</t>
  </si>
  <si>
    <t>Netherlands</t>
  </si>
  <si>
    <t>Portugal</t>
  </si>
  <si>
    <t>PRT</t>
  </si>
  <si>
    <t>République arabe syrienne</t>
  </si>
  <si>
    <t>SYR</t>
  </si>
  <si>
    <t>Syrian Arab Republic</t>
  </si>
  <si>
    <t>Royaume-Uni</t>
  </si>
  <si>
    <t>GBR</t>
  </si>
  <si>
    <t>United Kingdom</t>
  </si>
  <si>
    <t>Sénégal</t>
  </si>
  <si>
    <t>SEN</t>
  </si>
  <si>
    <t>Senegal</t>
  </si>
  <si>
    <t>Serbie</t>
  </si>
  <si>
    <t>SRB</t>
  </si>
  <si>
    <t>Serbia</t>
  </si>
  <si>
    <t>Slovaquie</t>
  </si>
  <si>
    <t>SVK</t>
  </si>
  <si>
    <t>Slovakia</t>
  </si>
  <si>
    <t>Slovénie</t>
  </si>
  <si>
    <t>SVN</t>
  </si>
  <si>
    <t>Slovenia</t>
  </si>
  <si>
    <t>Suède</t>
  </si>
  <si>
    <t>SWE</t>
  </si>
  <si>
    <t>Sweden</t>
  </si>
  <si>
    <t>Suisse</t>
  </si>
  <si>
    <t>CHE</t>
  </si>
  <si>
    <t>Switzerland</t>
  </si>
  <si>
    <t>Tchad</t>
  </si>
  <si>
    <t>TCD</t>
  </si>
  <si>
    <t>Chad</t>
  </si>
  <si>
    <t>Territoires palestiniens occupés</t>
  </si>
  <si>
    <t>PSE</t>
  </si>
  <si>
    <t>Palestine, State of</t>
  </si>
  <si>
    <t>Tunisie</t>
  </si>
  <si>
    <t>TUN</t>
  </si>
  <si>
    <t>Tunisia</t>
  </si>
  <si>
    <t>Turquie</t>
  </si>
  <si>
    <t>TUR</t>
  </si>
  <si>
    <t>Turkey</t>
  </si>
  <si>
    <t>Moyenne =</t>
  </si>
  <si>
    <t>Variance =</t>
  </si>
  <si>
    <t>Ecart type =</t>
  </si>
  <si>
    <t>Médiane =</t>
  </si>
  <si>
    <t>Q1 =</t>
  </si>
  <si>
    <t>Q2 =</t>
  </si>
  <si>
    <t>Q3 =</t>
  </si>
  <si>
    <t>Déciles &amp; quartiles :</t>
  </si>
  <si>
    <t>D9 =</t>
  </si>
  <si>
    <t>D1 =</t>
  </si>
  <si>
    <t>Total</t>
  </si>
  <si>
    <t>Médiane</t>
  </si>
  <si>
    <t>Covariance</t>
  </si>
  <si>
    <t>IDH - PIB</t>
  </si>
  <si>
    <t>IDH - Esp</t>
  </si>
  <si>
    <t>IDH - éducation</t>
  </si>
  <si>
    <t>IDH - Pop</t>
  </si>
  <si>
    <t>IDH - Palma</t>
  </si>
  <si>
    <t>Corrélation</t>
  </si>
  <si>
    <t>RAPPORT DÉTAILLÉ</t>
  </si>
  <si>
    <t>Statistiques de la régression</t>
  </si>
  <si>
    <t>Coefficient de détermination multiple</t>
  </si>
  <si>
    <t>Coefficient de détermination R^2</t>
  </si>
  <si>
    <t>Erreur-type</t>
  </si>
  <si>
    <t>Observations</t>
  </si>
  <si>
    <t>ANALYSE DE VARIANCE</t>
  </si>
  <si>
    <t>Régression</t>
  </si>
  <si>
    <t>Résidus</t>
  </si>
  <si>
    <t>Constante</t>
  </si>
  <si>
    <t>Degré de liberté</t>
  </si>
  <si>
    <t>Somme des carrés</t>
  </si>
  <si>
    <t>Moyenne des carrés</t>
  </si>
  <si>
    <t>F</t>
  </si>
  <si>
    <t>Valeur critique de F</t>
  </si>
  <si>
    <t>Coefficients</t>
  </si>
  <si>
    <t>Statistique t</t>
  </si>
  <si>
    <t>Probabilité</t>
  </si>
  <si>
    <t>Limite inférieure pour seuil de confiance = 95%</t>
  </si>
  <si>
    <t>Limite supérieure pour seuil de confiance = 95%</t>
  </si>
  <si>
    <t>Limite inférieure pour seuil de confiance =  95,0%</t>
  </si>
  <si>
    <t>Limite supérieure pour seuil de confiance =  95,0%</t>
  </si>
  <si>
    <t>Espérance de vie pondérée</t>
  </si>
  <si>
    <t>Ecart carré pondéré</t>
  </si>
  <si>
    <t>Variance inter-Pays</t>
  </si>
  <si>
    <t>D1</t>
  </si>
  <si>
    <t>Q1</t>
  </si>
  <si>
    <t>Q3</t>
  </si>
  <si>
    <t>D9</t>
  </si>
  <si>
    <t>Coefficient de corrélation</t>
  </si>
  <si>
    <t>Coefficient de détermination</t>
  </si>
  <si>
    <t>Espérance de vie non pondérée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</si>
</sst>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_-* #,##0\ &quot;€&quot;_-;\-* #,##0\ &quot;€&quot;_-;_-* &quot;-&quot;??\ &quot;€&quot;_-;_-@_-"/>
    <numFmt numFmtId="165" formatCode="0.0"/>
    <numFmt numFmtId="166" formatCode="0.0000E+00"/>
  </numFmts>
  <fonts count="4" x14ac:knownFonts="1">
    <font>
      <sz val="10"/>
      <name val="Arial"/>
      <family val="2"/>
    </font>
    <font>
      <sz val="10"/>
      <name val="Arial"/>
      <family val="2"/>
    </font>
    <font>
      <b/>
      <sz val="10"/>
      <name val="Arial"/>
      <family val="2"/>
    </font>
    <font>
      <i/>
      <sz val="10"/>
      <name val="Arial"/>
      <family val="2"/>
    </font>
  </fonts>
  <fills count="4">
    <fill>
      <patternFill patternType="none"/>
    </fill>
    <fill>
      <patternFill patternType="gray125"/>
    </fill>
    <fill>
      <patternFill patternType="solid">
        <fgColor theme="7"/>
        <bgColor indexed="64"/>
      </patternFill>
    </fill>
    <fill>
      <patternFill patternType="solid">
        <fgColor theme="5"/>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64" fontId="0" fillId="0" borderId="0" xfId="1" applyNumberFormat="1" applyFont="1"/>
    <xf numFmtId="2" fontId="0" fillId="0" borderId="0" xfId="0" applyNumberFormat="1"/>
    <xf numFmtId="0" fontId="2" fillId="0" borderId="0" xfId="0" applyFont="1"/>
    <xf numFmtId="0" fontId="0" fillId="0" borderId="0" xfId="0" applyAlignment="1">
      <alignment horizontal="left"/>
    </xf>
    <xf numFmtId="2" fontId="0" fillId="0" borderId="0" xfId="0" applyNumberFormat="1" applyAlignment="1">
      <alignment horizontal="right"/>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2" borderId="0" xfId="0" applyFill="1"/>
    <xf numFmtId="2" fontId="0" fillId="2" borderId="0" xfId="0" applyNumberFormat="1" applyFill="1"/>
    <xf numFmtId="2" fontId="0" fillId="0" borderId="1" xfId="0" applyNumberFormat="1" applyBorder="1"/>
    <xf numFmtId="165" fontId="0" fillId="0" borderId="0" xfId="0" applyNumberFormat="1"/>
    <xf numFmtId="0" fontId="2" fillId="0" borderId="3" xfId="0" applyFont="1" applyBorder="1"/>
    <xf numFmtId="2" fontId="2" fillId="0" borderId="3" xfId="0" applyNumberFormat="1" applyFont="1" applyBorder="1"/>
    <xf numFmtId="0" fontId="0" fillId="3" borderId="0" xfId="0" applyFill="1" applyAlignment="1">
      <alignment horizontal="left"/>
    </xf>
    <xf numFmtId="2" fontId="0" fillId="3" borderId="0" xfId="0" applyNumberFormat="1" applyFill="1" applyAlignment="1">
      <alignment horizontal="right"/>
    </xf>
    <xf numFmtId="0" fontId="0" fillId="3" borderId="0" xfId="0" applyFill="1"/>
    <xf numFmtId="2" fontId="0" fillId="3" borderId="0" xfId="0" applyNumberFormat="1" applyFill="1"/>
    <xf numFmtId="166" fontId="0" fillId="2" borderId="0" xfId="0" applyNumberFormat="1" applyFill="1"/>
    <xf numFmtId="0" fontId="3" fillId="0" borderId="2" xfId="0" applyFont="1" applyBorder="1" applyAlignment="1">
      <alignment horizontal="center" wrapText="1"/>
    </xf>
    <xf numFmtId="0" fontId="0" fillId="0" borderId="0" xfId="0" applyAlignment="1">
      <alignment wrapText="1"/>
    </xf>
    <xf numFmtId="0" fontId="0" fillId="0" borderId="0" xfId="0" applyAlignment="1">
      <alignment horizontal="center"/>
    </xf>
    <xf numFmtId="0" fontId="0" fillId="2" borderId="1" xfId="0" applyFill="1" applyBorder="1"/>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8.xml"/><Relationship Id="rId5" Type="http://schemas.openxmlformats.org/officeDocument/2006/relationships/worksheet" Target="worksheets/sheet5.xml"/><Relationship Id="rId15" Type="http://schemas.openxmlformats.org/officeDocument/2006/relationships/worksheet" Target="worksheets/sheet11.xml"/><Relationship Id="rId10" Type="http://schemas.openxmlformats.org/officeDocument/2006/relationships/chartsheet" Target="chartsheets/sheet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'Q5'!$B$1</c:f>
              <c:strCache>
                <c:ptCount val="1"/>
                <c:pt idx="0">
                  <c:v>Esp Vie Naiss 2017</c:v>
                </c:pt>
              </c:strCache>
            </c:strRef>
          </c:tx>
          <c:spPr>
            <a:solidFill>
              <a:schemeClr val="accent1"/>
            </a:solidFill>
            <a:ln>
              <a:noFill/>
            </a:ln>
            <a:effectLst/>
          </c:spPr>
          <c:invertIfNegative val="0"/>
          <c:dPt>
            <c:idx val="5"/>
            <c:invertIfNegative val="0"/>
            <c:bubble3D val="0"/>
            <c:spPr>
              <a:solidFill>
                <a:srgbClr val="FFC000"/>
              </a:solidFill>
              <a:ln>
                <a:noFill/>
              </a:ln>
              <a:effectLst/>
            </c:spPr>
            <c:extLst>
              <c:ext xmlns:c16="http://schemas.microsoft.com/office/drawing/2014/chart" uri="{C3380CC4-5D6E-409C-BE32-E72D297353CC}">
                <c16:uniqueId val="{00000002-4311-4967-9C62-091525F9073C}"/>
              </c:ext>
            </c:extLst>
          </c:dPt>
          <c:dPt>
            <c:idx val="12"/>
            <c:invertIfNegative val="0"/>
            <c:bubble3D val="0"/>
            <c:spPr>
              <a:solidFill>
                <a:srgbClr val="FFC000"/>
              </a:solidFill>
              <a:ln>
                <a:noFill/>
              </a:ln>
              <a:effectLst/>
            </c:spPr>
            <c:extLst>
              <c:ext xmlns:c16="http://schemas.microsoft.com/office/drawing/2014/chart" uri="{C3380CC4-5D6E-409C-BE32-E72D297353CC}">
                <c16:uniqueId val="{00000003-4311-4967-9C62-091525F9073C}"/>
              </c:ext>
            </c:extLst>
          </c:dPt>
          <c:dPt>
            <c:idx val="23"/>
            <c:invertIfNegative val="0"/>
            <c:bubble3D val="0"/>
            <c:spPr>
              <a:solidFill>
                <a:srgbClr val="FFC000"/>
              </a:solidFill>
              <a:ln>
                <a:noFill/>
              </a:ln>
              <a:effectLst/>
            </c:spPr>
            <c:extLst>
              <c:ext xmlns:c16="http://schemas.microsoft.com/office/drawing/2014/chart" uri="{C3380CC4-5D6E-409C-BE32-E72D297353CC}">
                <c16:uniqueId val="{00000001-989D-4B05-9A1E-8E4C4E0A1D49}"/>
              </c:ext>
            </c:extLst>
          </c:dPt>
          <c:dPt>
            <c:idx val="38"/>
            <c:invertIfNegative val="0"/>
            <c:bubble3D val="0"/>
            <c:spPr>
              <a:solidFill>
                <a:srgbClr val="FFC000"/>
              </a:solidFill>
              <a:ln>
                <a:noFill/>
              </a:ln>
              <a:effectLst/>
            </c:spPr>
            <c:extLst>
              <c:ext xmlns:c16="http://schemas.microsoft.com/office/drawing/2014/chart" uri="{C3380CC4-5D6E-409C-BE32-E72D297353CC}">
                <c16:uniqueId val="{00000004-4311-4967-9C62-091525F9073C}"/>
              </c:ext>
            </c:extLst>
          </c:dPt>
          <c:dPt>
            <c:idx val="44"/>
            <c:invertIfNegative val="0"/>
            <c:bubble3D val="0"/>
            <c:spPr>
              <a:solidFill>
                <a:srgbClr val="FFC000"/>
              </a:solidFill>
              <a:ln>
                <a:noFill/>
              </a:ln>
              <a:effectLst/>
            </c:spPr>
            <c:extLst>
              <c:ext xmlns:c16="http://schemas.microsoft.com/office/drawing/2014/chart" uri="{C3380CC4-5D6E-409C-BE32-E72D297353CC}">
                <c16:uniqueId val="{00000005-4311-4967-9C62-091525F9073C}"/>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'Q5'!$A$2:$A$50</c:f>
              <c:strCache>
                <c:ptCount val="49"/>
                <c:pt idx="0">
                  <c:v>Tchad</c:v>
                </c:pt>
                <c:pt idx="1">
                  <c:v>Côte d'Ivoire</c:v>
                </c:pt>
                <c:pt idx="2">
                  <c:v>Guinée équatoriale</c:v>
                </c:pt>
                <c:pt idx="3">
                  <c:v>Mali</c:v>
                </c:pt>
                <c:pt idx="4">
                  <c:v>Cameroun</c:v>
                </c:pt>
                <c:pt idx="5">
                  <c:v>D1</c:v>
                </c:pt>
                <c:pt idx="6">
                  <c:v>Congo (République démocratique du)</c:v>
                </c:pt>
                <c:pt idx="7">
                  <c:v>Niger</c:v>
                </c:pt>
                <c:pt idx="8">
                  <c:v>Guinée</c:v>
                </c:pt>
                <c:pt idx="9">
                  <c:v>Mauritanie</c:v>
                </c:pt>
                <c:pt idx="10">
                  <c:v>Congo</c:v>
                </c:pt>
                <c:pt idx="11">
                  <c:v>Éthiopie</c:v>
                </c:pt>
                <c:pt idx="12">
                  <c:v>Q1</c:v>
                </c:pt>
                <c:pt idx="13">
                  <c:v>Madagascar</c:v>
                </c:pt>
                <c:pt idx="14">
                  <c:v>Gabon</c:v>
                </c:pt>
                <c:pt idx="15">
                  <c:v>Sénégal</c:v>
                </c:pt>
                <c:pt idx="16">
                  <c:v>République arabe syrienne</c:v>
                </c:pt>
                <c:pt idx="17">
                  <c:v>Libye</c:v>
                </c:pt>
                <c:pt idx="18">
                  <c:v>Territoires palestiniens occupés</c:v>
                </c:pt>
                <c:pt idx="19">
                  <c:v>Jordanie</c:v>
                </c:pt>
                <c:pt idx="20">
                  <c:v>Serbie</c:v>
                </c:pt>
                <c:pt idx="21">
                  <c:v>Tunisie</c:v>
                </c:pt>
                <c:pt idx="22">
                  <c:v>Turquie</c:v>
                </c:pt>
                <c:pt idx="23">
                  <c:v>Hongrie</c:v>
                </c:pt>
                <c:pt idx="24">
                  <c:v>Maroc</c:v>
                </c:pt>
                <c:pt idx="25">
                  <c:v>Médiane</c:v>
                </c:pt>
                <c:pt idx="26">
                  <c:v>Algérie</c:v>
                </c:pt>
                <c:pt idx="27">
                  <c:v>Slovaquie</c:v>
                </c:pt>
                <c:pt idx="28">
                  <c:v>Croatie</c:v>
                </c:pt>
                <c:pt idx="29">
                  <c:v>Albanie</c:v>
                </c:pt>
                <c:pt idx="30">
                  <c:v>Liban</c:v>
                </c:pt>
                <c:pt idx="31">
                  <c:v>Danemark</c:v>
                </c:pt>
                <c:pt idx="32">
                  <c:v>Slovénie</c:v>
                </c:pt>
                <c:pt idx="33">
                  <c:v>Allemagne</c:v>
                </c:pt>
                <c:pt idx="34">
                  <c:v>Belgique</c:v>
                </c:pt>
                <c:pt idx="35">
                  <c:v>Grèce</c:v>
                </c:pt>
                <c:pt idx="36">
                  <c:v>Portugal</c:v>
                </c:pt>
                <c:pt idx="37">
                  <c:v>Q3</c:v>
                </c:pt>
                <c:pt idx="38">
                  <c:v>Finlande</c:v>
                </c:pt>
                <c:pt idx="39">
                  <c:v>Royaume-Uni</c:v>
                </c:pt>
                <c:pt idx="40">
                  <c:v>Pays-Bas</c:v>
                </c:pt>
                <c:pt idx="41">
                  <c:v>Norvège</c:v>
                </c:pt>
                <c:pt idx="42">
                  <c:v>Suède</c:v>
                </c:pt>
                <c:pt idx="43">
                  <c:v>D9</c:v>
                </c:pt>
                <c:pt idx="44">
                  <c:v>France</c:v>
                </c:pt>
                <c:pt idx="45">
                  <c:v>Israël</c:v>
                </c:pt>
                <c:pt idx="46">
                  <c:v>Italie</c:v>
                </c:pt>
                <c:pt idx="47">
                  <c:v>Espagne</c:v>
                </c:pt>
                <c:pt idx="48">
                  <c:v>Suisse</c:v>
                </c:pt>
              </c:strCache>
            </c:strRef>
          </c:cat>
          <c:val>
            <c:numRef>
              <c:f>'Q5'!$B$2:$B$50</c:f>
              <c:numCache>
                <c:formatCode>General</c:formatCode>
                <c:ptCount val="49"/>
                <c:pt idx="0">
                  <c:v>53.2</c:v>
                </c:pt>
                <c:pt idx="1">
                  <c:v>54.1</c:v>
                </c:pt>
                <c:pt idx="2">
                  <c:v>57.9</c:v>
                </c:pt>
                <c:pt idx="3">
                  <c:v>58.5</c:v>
                </c:pt>
                <c:pt idx="4">
                  <c:v>58.6</c:v>
                </c:pt>
                <c:pt idx="5" formatCode="0.00">
                  <c:v>59.02</c:v>
                </c:pt>
                <c:pt idx="6">
                  <c:v>60</c:v>
                </c:pt>
                <c:pt idx="7">
                  <c:v>60.4</c:v>
                </c:pt>
                <c:pt idx="8">
                  <c:v>60.6</c:v>
                </c:pt>
                <c:pt idx="9">
                  <c:v>63.4</c:v>
                </c:pt>
                <c:pt idx="10">
                  <c:v>65.099999999999994</c:v>
                </c:pt>
                <c:pt idx="11">
                  <c:v>65.900000000000006</c:v>
                </c:pt>
                <c:pt idx="12" formatCode="0.00">
                  <c:v>66</c:v>
                </c:pt>
                <c:pt idx="13">
                  <c:v>66.3</c:v>
                </c:pt>
                <c:pt idx="14">
                  <c:v>66.5</c:v>
                </c:pt>
                <c:pt idx="15">
                  <c:v>67.5</c:v>
                </c:pt>
                <c:pt idx="16">
                  <c:v>71</c:v>
                </c:pt>
                <c:pt idx="17">
                  <c:v>72.099999999999994</c:v>
                </c:pt>
                <c:pt idx="18">
                  <c:v>73.599999999999994</c:v>
                </c:pt>
                <c:pt idx="19">
                  <c:v>74.5</c:v>
                </c:pt>
                <c:pt idx="20">
                  <c:v>75.3</c:v>
                </c:pt>
                <c:pt idx="21">
                  <c:v>75.900000000000006</c:v>
                </c:pt>
                <c:pt idx="22">
                  <c:v>76</c:v>
                </c:pt>
                <c:pt idx="23">
                  <c:v>76.099999999999994</c:v>
                </c:pt>
                <c:pt idx="24">
                  <c:v>76.099999999999994</c:v>
                </c:pt>
                <c:pt idx="25">
                  <c:v>76.099999999999994</c:v>
                </c:pt>
                <c:pt idx="26">
                  <c:v>76.3</c:v>
                </c:pt>
                <c:pt idx="27">
                  <c:v>77</c:v>
                </c:pt>
                <c:pt idx="28">
                  <c:v>77.8</c:v>
                </c:pt>
                <c:pt idx="29">
                  <c:v>78.5</c:v>
                </c:pt>
                <c:pt idx="30">
                  <c:v>79.8</c:v>
                </c:pt>
                <c:pt idx="31">
                  <c:v>80.900000000000006</c:v>
                </c:pt>
                <c:pt idx="32">
                  <c:v>81.099999999999994</c:v>
                </c:pt>
                <c:pt idx="33">
                  <c:v>81.2</c:v>
                </c:pt>
                <c:pt idx="34">
                  <c:v>81.3</c:v>
                </c:pt>
                <c:pt idx="35">
                  <c:v>81.400000000000006</c:v>
                </c:pt>
                <c:pt idx="36">
                  <c:v>81.400000000000006</c:v>
                </c:pt>
                <c:pt idx="37" formatCode="0.00">
                  <c:v>81.400000000000006</c:v>
                </c:pt>
                <c:pt idx="38">
                  <c:v>81.5</c:v>
                </c:pt>
                <c:pt idx="39">
                  <c:v>81.7</c:v>
                </c:pt>
                <c:pt idx="40">
                  <c:v>82</c:v>
                </c:pt>
                <c:pt idx="41">
                  <c:v>82.3</c:v>
                </c:pt>
                <c:pt idx="42">
                  <c:v>82.6</c:v>
                </c:pt>
                <c:pt idx="43" formatCode="0.00">
                  <c:v>82.67</c:v>
                </c:pt>
                <c:pt idx="44">
                  <c:v>82.7</c:v>
                </c:pt>
                <c:pt idx="45">
                  <c:v>82.7</c:v>
                </c:pt>
                <c:pt idx="46">
                  <c:v>83.2</c:v>
                </c:pt>
                <c:pt idx="47">
                  <c:v>83.3</c:v>
                </c:pt>
                <c:pt idx="48">
                  <c:v>83.5</c:v>
                </c:pt>
              </c:numCache>
            </c:numRef>
          </c:val>
          <c:extLst>
            <c:ext xmlns:c16="http://schemas.microsoft.com/office/drawing/2014/chart" uri="{C3380CC4-5D6E-409C-BE32-E72D297353CC}">
              <c16:uniqueId val="{00000002-989D-4B05-9A1E-8E4C4E0A1D49}"/>
            </c:ext>
          </c:extLst>
        </c:ser>
        <c:dLbls>
          <c:showLegendKey val="0"/>
          <c:showVal val="0"/>
          <c:showCatName val="0"/>
          <c:showSerName val="0"/>
          <c:showPercent val="0"/>
          <c:showBubbleSize val="0"/>
        </c:dLbls>
        <c:gapWidth val="219"/>
        <c:overlap val="-27"/>
        <c:axId val="861930672"/>
        <c:axId val="861927312"/>
      </c:barChart>
      <c:catAx>
        <c:axId val="86193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fr-FR"/>
          </a:p>
        </c:txPr>
        <c:crossAx val="861927312"/>
        <c:crosses val="autoZero"/>
        <c:auto val="1"/>
        <c:lblAlgn val="ctr"/>
        <c:lblOffset val="100"/>
        <c:noMultiLvlLbl val="0"/>
      </c:catAx>
      <c:valAx>
        <c:axId val="861927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Espérance de vie (en années)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6193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'Q5'!$B$1</c:f>
              <c:strCache>
                <c:ptCount val="1"/>
                <c:pt idx="0">
                  <c:v>Esp Vie Naiss 2017</c:v>
                </c:pt>
              </c:strCache>
            </c:strRef>
          </c:tx>
          <c:spPr>
            <a:solidFill>
              <a:schemeClr val="accent1"/>
            </a:solidFill>
            <a:ln>
              <a:noFill/>
            </a:ln>
            <a:effectLst/>
          </c:spPr>
          <c:invertIfNegative val="0"/>
          <c:dPt>
            <c:idx val="5"/>
            <c:invertIfNegative val="0"/>
            <c:bubble3D val="0"/>
            <c:spPr>
              <a:solidFill>
                <a:srgbClr val="FFC000"/>
              </a:solidFill>
              <a:ln>
                <a:noFill/>
              </a:ln>
              <a:effectLst/>
            </c:spPr>
            <c:extLst>
              <c:ext xmlns:c16="http://schemas.microsoft.com/office/drawing/2014/chart" uri="{C3380CC4-5D6E-409C-BE32-E72D297353CC}">
                <c16:uniqueId val="{00000001-2E28-45B6-B63A-B2CDF4733A8F}"/>
              </c:ext>
            </c:extLst>
          </c:dPt>
          <c:dPt>
            <c:idx val="12"/>
            <c:invertIfNegative val="0"/>
            <c:bubble3D val="0"/>
            <c:spPr>
              <a:solidFill>
                <a:srgbClr val="FFC000"/>
              </a:solidFill>
              <a:ln>
                <a:noFill/>
              </a:ln>
              <a:effectLst/>
            </c:spPr>
            <c:extLst>
              <c:ext xmlns:c16="http://schemas.microsoft.com/office/drawing/2014/chart" uri="{C3380CC4-5D6E-409C-BE32-E72D297353CC}">
                <c16:uniqueId val="{00000003-2E28-45B6-B63A-B2CDF4733A8F}"/>
              </c:ext>
            </c:extLst>
          </c:dPt>
          <c:dPt>
            <c:idx val="23"/>
            <c:invertIfNegative val="0"/>
            <c:bubble3D val="0"/>
            <c:spPr>
              <a:solidFill>
                <a:schemeClr val="accent1"/>
              </a:solidFill>
              <a:ln>
                <a:noFill/>
              </a:ln>
              <a:effectLst/>
            </c:spPr>
            <c:extLst>
              <c:ext xmlns:c16="http://schemas.microsoft.com/office/drawing/2014/chart" uri="{C3380CC4-5D6E-409C-BE32-E72D297353CC}">
                <c16:uniqueId val="{00000005-2E28-45B6-B63A-B2CDF4733A8F}"/>
              </c:ext>
            </c:extLst>
          </c:dPt>
          <c:dPt>
            <c:idx val="25"/>
            <c:invertIfNegative val="0"/>
            <c:bubble3D val="0"/>
            <c:spPr>
              <a:solidFill>
                <a:srgbClr val="FFC000"/>
              </a:solidFill>
              <a:ln>
                <a:noFill/>
              </a:ln>
              <a:effectLst/>
            </c:spPr>
            <c:extLst>
              <c:ext xmlns:c16="http://schemas.microsoft.com/office/drawing/2014/chart" uri="{C3380CC4-5D6E-409C-BE32-E72D297353CC}">
                <c16:uniqueId val="{00000007-2E28-45B6-B63A-B2CDF4733A8F}"/>
              </c:ext>
            </c:extLst>
          </c:dPt>
          <c:dPt>
            <c:idx val="37"/>
            <c:invertIfNegative val="0"/>
            <c:bubble3D val="0"/>
            <c:spPr>
              <a:solidFill>
                <a:srgbClr val="FFC000"/>
              </a:solidFill>
              <a:ln>
                <a:noFill/>
              </a:ln>
              <a:effectLst/>
            </c:spPr>
            <c:extLst>
              <c:ext xmlns:c16="http://schemas.microsoft.com/office/drawing/2014/chart" uri="{C3380CC4-5D6E-409C-BE32-E72D297353CC}">
                <c16:uniqueId val="{00000009-2E28-45B6-B63A-B2CDF4733A8F}"/>
              </c:ext>
            </c:extLst>
          </c:dPt>
          <c:dPt>
            <c:idx val="38"/>
            <c:invertIfNegative val="0"/>
            <c:bubble3D val="0"/>
            <c:spPr>
              <a:solidFill>
                <a:schemeClr val="accent1"/>
              </a:solidFill>
              <a:ln>
                <a:noFill/>
              </a:ln>
              <a:effectLst/>
            </c:spPr>
            <c:extLst>
              <c:ext xmlns:c16="http://schemas.microsoft.com/office/drawing/2014/chart" uri="{C3380CC4-5D6E-409C-BE32-E72D297353CC}">
                <c16:uniqueId val="{0000000B-2E28-45B6-B63A-B2CDF4733A8F}"/>
              </c:ext>
            </c:extLst>
          </c:dPt>
          <c:dPt>
            <c:idx val="43"/>
            <c:invertIfNegative val="0"/>
            <c:bubble3D val="0"/>
            <c:spPr>
              <a:solidFill>
                <a:srgbClr val="FFC000"/>
              </a:solidFill>
              <a:ln>
                <a:noFill/>
              </a:ln>
              <a:effectLst/>
            </c:spPr>
            <c:extLst>
              <c:ext xmlns:c16="http://schemas.microsoft.com/office/drawing/2014/chart" uri="{C3380CC4-5D6E-409C-BE32-E72D297353CC}">
                <c16:uniqueId val="{0000000D-2E28-45B6-B63A-B2CDF4733A8F}"/>
              </c:ext>
            </c:extLst>
          </c:dPt>
          <c:dPt>
            <c:idx val="44"/>
            <c:invertIfNegative val="0"/>
            <c:bubble3D val="0"/>
            <c:spPr>
              <a:solidFill>
                <a:schemeClr val="accent1"/>
              </a:solidFill>
              <a:ln>
                <a:noFill/>
              </a:ln>
              <a:effectLst/>
            </c:spPr>
            <c:extLst>
              <c:ext xmlns:c16="http://schemas.microsoft.com/office/drawing/2014/chart" uri="{C3380CC4-5D6E-409C-BE32-E72D297353CC}">
                <c16:uniqueId val="{0000000F-2E28-45B6-B63A-B2CDF4733A8F}"/>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'Q5'!$A$2:$A$50</c:f>
              <c:strCache>
                <c:ptCount val="49"/>
                <c:pt idx="0">
                  <c:v>Tchad</c:v>
                </c:pt>
                <c:pt idx="1">
                  <c:v>Côte d'Ivoire</c:v>
                </c:pt>
                <c:pt idx="2">
                  <c:v>Guinée équatoriale</c:v>
                </c:pt>
                <c:pt idx="3">
                  <c:v>Mali</c:v>
                </c:pt>
                <c:pt idx="4">
                  <c:v>Cameroun</c:v>
                </c:pt>
                <c:pt idx="5">
                  <c:v>D1</c:v>
                </c:pt>
                <c:pt idx="6">
                  <c:v>Congo (République démocratique du)</c:v>
                </c:pt>
                <c:pt idx="7">
                  <c:v>Niger</c:v>
                </c:pt>
                <c:pt idx="8">
                  <c:v>Guinée</c:v>
                </c:pt>
                <c:pt idx="9">
                  <c:v>Mauritanie</c:v>
                </c:pt>
                <c:pt idx="10">
                  <c:v>Congo</c:v>
                </c:pt>
                <c:pt idx="11">
                  <c:v>Éthiopie</c:v>
                </c:pt>
                <c:pt idx="12">
                  <c:v>Q1</c:v>
                </c:pt>
                <c:pt idx="13">
                  <c:v>Madagascar</c:v>
                </c:pt>
                <c:pt idx="14">
                  <c:v>Gabon</c:v>
                </c:pt>
                <c:pt idx="15">
                  <c:v>Sénégal</c:v>
                </c:pt>
                <c:pt idx="16">
                  <c:v>République arabe syrienne</c:v>
                </c:pt>
                <c:pt idx="17">
                  <c:v>Libye</c:v>
                </c:pt>
                <c:pt idx="18">
                  <c:v>Territoires palestiniens occupés</c:v>
                </c:pt>
                <c:pt idx="19">
                  <c:v>Jordanie</c:v>
                </c:pt>
                <c:pt idx="20">
                  <c:v>Serbie</c:v>
                </c:pt>
                <c:pt idx="21">
                  <c:v>Tunisie</c:v>
                </c:pt>
                <c:pt idx="22">
                  <c:v>Turquie</c:v>
                </c:pt>
                <c:pt idx="23">
                  <c:v>Hongrie</c:v>
                </c:pt>
                <c:pt idx="24">
                  <c:v>Maroc</c:v>
                </c:pt>
                <c:pt idx="25">
                  <c:v>Médiane</c:v>
                </c:pt>
                <c:pt idx="26">
                  <c:v>Algérie</c:v>
                </c:pt>
                <c:pt idx="27">
                  <c:v>Slovaquie</c:v>
                </c:pt>
                <c:pt idx="28">
                  <c:v>Croatie</c:v>
                </c:pt>
                <c:pt idx="29">
                  <c:v>Albanie</c:v>
                </c:pt>
                <c:pt idx="30">
                  <c:v>Liban</c:v>
                </c:pt>
                <c:pt idx="31">
                  <c:v>Danemark</c:v>
                </c:pt>
                <c:pt idx="32">
                  <c:v>Slovénie</c:v>
                </c:pt>
                <c:pt idx="33">
                  <c:v>Allemagne</c:v>
                </c:pt>
                <c:pt idx="34">
                  <c:v>Belgique</c:v>
                </c:pt>
                <c:pt idx="35">
                  <c:v>Grèce</c:v>
                </c:pt>
                <c:pt idx="36">
                  <c:v>Portugal</c:v>
                </c:pt>
                <c:pt idx="37">
                  <c:v>Q3</c:v>
                </c:pt>
                <c:pt idx="38">
                  <c:v>Finlande</c:v>
                </c:pt>
                <c:pt idx="39">
                  <c:v>Royaume-Uni</c:v>
                </c:pt>
                <c:pt idx="40">
                  <c:v>Pays-Bas</c:v>
                </c:pt>
                <c:pt idx="41">
                  <c:v>Norvège</c:v>
                </c:pt>
                <c:pt idx="42">
                  <c:v>Suède</c:v>
                </c:pt>
                <c:pt idx="43">
                  <c:v>D9</c:v>
                </c:pt>
                <c:pt idx="44">
                  <c:v>France</c:v>
                </c:pt>
                <c:pt idx="45">
                  <c:v>Israël</c:v>
                </c:pt>
                <c:pt idx="46">
                  <c:v>Italie</c:v>
                </c:pt>
                <c:pt idx="47">
                  <c:v>Espagne</c:v>
                </c:pt>
                <c:pt idx="48">
                  <c:v>Suisse</c:v>
                </c:pt>
              </c:strCache>
            </c:strRef>
          </c:cat>
          <c:val>
            <c:numRef>
              <c:f>'Q5'!$B$2:$B$50</c:f>
              <c:numCache>
                <c:formatCode>General</c:formatCode>
                <c:ptCount val="49"/>
                <c:pt idx="0">
                  <c:v>53.2</c:v>
                </c:pt>
                <c:pt idx="1">
                  <c:v>54.1</c:v>
                </c:pt>
                <c:pt idx="2">
                  <c:v>57.9</c:v>
                </c:pt>
                <c:pt idx="3">
                  <c:v>58.5</c:v>
                </c:pt>
                <c:pt idx="4">
                  <c:v>58.6</c:v>
                </c:pt>
                <c:pt idx="5" formatCode="0.00">
                  <c:v>59.02</c:v>
                </c:pt>
                <c:pt idx="6">
                  <c:v>60</c:v>
                </c:pt>
                <c:pt idx="7">
                  <c:v>60.4</c:v>
                </c:pt>
                <c:pt idx="8">
                  <c:v>60.6</c:v>
                </c:pt>
                <c:pt idx="9">
                  <c:v>63.4</c:v>
                </c:pt>
                <c:pt idx="10">
                  <c:v>65.099999999999994</c:v>
                </c:pt>
                <c:pt idx="11">
                  <c:v>65.900000000000006</c:v>
                </c:pt>
                <c:pt idx="12" formatCode="0.00">
                  <c:v>66</c:v>
                </c:pt>
                <c:pt idx="13">
                  <c:v>66.3</c:v>
                </c:pt>
                <c:pt idx="14">
                  <c:v>66.5</c:v>
                </c:pt>
                <c:pt idx="15">
                  <c:v>67.5</c:v>
                </c:pt>
                <c:pt idx="16">
                  <c:v>71</c:v>
                </c:pt>
                <c:pt idx="17">
                  <c:v>72.099999999999994</c:v>
                </c:pt>
                <c:pt idx="18">
                  <c:v>73.599999999999994</c:v>
                </c:pt>
                <c:pt idx="19">
                  <c:v>74.5</c:v>
                </c:pt>
                <c:pt idx="20">
                  <c:v>75.3</c:v>
                </c:pt>
                <c:pt idx="21">
                  <c:v>75.900000000000006</c:v>
                </c:pt>
                <c:pt idx="22">
                  <c:v>76</c:v>
                </c:pt>
                <c:pt idx="23">
                  <c:v>76.099999999999994</c:v>
                </c:pt>
                <c:pt idx="24">
                  <c:v>76.099999999999994</c:v>
                </c:pt>
                <c:pt idx="25">
                  <c:v>76.099999999999994</c:v>
                </c:pt>
                <c:pt idx="26">
                  <c:v>76.3</c:v>
                </c:pt>
                <c:pt idx="27">
                  <c:v>77</c:v>
                </c:pt>
                <c:pt idx="28">
                  <c:v>77.8</c:v>
                </c:pt>
                <c:pt idx="29">
                  <c:v>78.5</c:v>
                </c:pt>
                <c:pt idx="30">
                  <c:v>79.8</c:v>
                </c:pt>
                <c:pt idx="31">
                  <c:v>80.900000000000006</c:v>
                </c:pt>
                <c:pt idx="32">
                  <c:v>81.099999999999994</c:v>
                </c:pt>
                <c:pt idx="33">
                  <c:v>81.2</c:v>
                </c:pt>
                <c:pt idx="34">
                  <c:v>81.3</c:v>
                </c:pt>
                <c:pt idx="35">
                  <c:v>81.400000000000006</c:v>
                </c:pt>
                <c:pt idx="36">
                  <c:v>81.400000000000006</c:v>
                </c:pt>
                <c:pt idx="37" formatCode="0.00">
                  <c:v>81.400000000000006</c:v>
                </c:pt>
                <c:pt idx="38">
                  <c:v>81.5</c:v>
                </c:pt>
                <c:pt idx="39">
                  <c:v>81.7</c:v>
                </c:pt>
                <c:pt idx="40">
                  <c:v>82</c:v>
                </c:pt>
                <c:pt idx="41">
                  <c:v>82.3</c:v>
                </c:pt>
                <c:pt idx="42">
                  <c:v>82.6</c:v>
                </c:pt>
                <c:pt idx="43" formatCode="0.00">
                  <c:v>82.67</c:v>
                </c:pt>
                <c:pt idx="44">
                  <c:v>82.7</c:v>
                </c:pt>
                <c:pt idx="45">
                  <c:v>82.7</c:v>
                </c:pt>
                <c:pt idx="46">
                  <c:v>83.2</c:v>
                </c:pt>
                <c:pt idx="47">
                  <c:v>83.3</c:v>
                </c:pt>
                <c:pt idx="48">
                  <c:v>83.5</c:v>
                </c:pt>
              </c:numCache>
            </c:numRef>
          </c:val>
          <c:extLst>
            <c:ext xmlns:c16="http://schemas.microsoft.com/office/drawing/2014/chart" uri="{C3380CC4-5D6E-409C-BE32-E72D297353CC}">
              <c16:uniqueId val="{00000010-2E28-45B6-B63A-B2CDF4733A8F}"/>
            </c:ext>
          </c:extLst>
        </c:ser>
        <c:dLbls>
          <c:showLegendKey val="0"/>
          <c:showVal val="0"/>
          <c:showCatName val="0"/>
          <c:showSerName val="0"/>
          <c:showPercent val="0"/>
          <c:showBubbleSize val="0"/>
        </c:dLbls>
        <c:gapWidth val="219"/>
        <c:overlap val="-27"/>
        <c:axId val="861930672"/>
        <c:axId val="861927312"/>
      </c:barChart>
      <c:catAx>
        <c:axId val="86193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fr-FR"/>
          </a:p>
        </c:txPr>
        <c:crossAx val="861927312"/>
        <c:crosses val="autoZero"/>
        <c:auto val="1"/>
        <c:lblAlgn val="ctr"/>
        <c:lblOffset val="100"/>
        <c:noMultiLvlLbl val="0"/>
      </c:catAx>
      <c:valAx>
        <c:axId val="861927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Espérance de vie (en années)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6193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effectLst/>
              </a:rPr>
              <a:t>Nuage de points et la droite de régression des espérances de vie sur les PIB par tête</a:t>
            </a:r>
            <a:r>
              <a:rPr lang="fr-FR"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'Q8'!$C$1</c:f>
              <c:strCache>
                <c:ptCount val="1"/>
                <c:pt idx="0">
                  <c:v>Esp Vie Naiss 2017</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1"/>
            <c:dispEq val="1"/>
            <c:trendlineLbl>
              <c:layout>
                <c:manualLayout>
                  <c:x val="-0.1013306278343943"/>
                  <c:y val="-1.531835205992511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fr-FR"/>
                </a:p>
              </c:txPr>
            </c:trendlineLbl>
          </c:trendline>
          <c:trendline>
            <c:spPr>
              <a:ln w="19050" cap="rnd">
                <a:solidFill>
                  <a:schemeClr val="accent1"/>
                </a:solidFill>
                <a:prstDash val="sysDot"/>
              </a:ln>
              <a:effectLst/>
            </c:spPr>
            <c:trendlineType val="linear"/>
            <c:dispRSqr val="0"/>
            <c:dispEq val="0"/>
          </c:trendline>
          <c:xVal>
            <c:numRef>
              <c:f>'Q8'!$B$2:$B$45</c:f>
              <c:numCache>
                <c:formatCode>General</c:formatCode>
                <c:ptCount val="44"/>
                <c:pt idx="0">
                  <c:v>1750</c:v>
                </c:pt>
                <c:pt idx="1">
                  <c:v>3481</c:v>
                </c:pt>
                <c:pt idx="2">
                  <c:v>19513</c:v>
                </c:pt>
                <c:pt idx="3">
                  <c:v>1953</c:v>
                </c:pt>
                <c:pt idx="4">
                  <c:v>3315</c:v>
                </c:pt>
                <c:pt idx="5">
                  <c:v>796</c:v>
                </c:pt>
                <c:pt idx="6">
                  <c:v>906</c:v>
                </c:pt>
                <c:pt idx="7">
                  <c:v>2067</c:v>
                </c:pt>
                <c:pt idx="8">
                  <c:v>3592</c:v>
                </c:pt>
                <c:pt idx="9">
                  <c:v>5694</c:v>
                </c:pt>
                <c:pt idx="10">
                  <c:v>1719</c:v>
                </c:pt>
                <c:pt idx="11">
                  <c:v>1358</c:v>
                </c:pt>
                <c:pt idx="12">
                  <c:v>16431</c:v>
                </c:pt>
                <c:pt idx="13">
                  <c:v>2384</c:v>
                </c:pt>
                <c:pt idx="14">
                  <c:v>2337</c:v>
                </c:pt>
                <c:pt idx="15">
                  <c:v>11100</c:v>
                </c:pt>
                <c:pt idx="16">
                  <c:v>5055</c:v>
                </c:pt>
                <c:pt idx="17">
                  <c:v>8288</c:v>
                </c:pt>
                <c:pt idx="18">
                  <c:v>13019</c:v>
                </c:pt>
                <c:pt idx="19">
                  <c:v>10275</c:v>
                </c:pt>
                <c:pt idx="20">
                  <c:v>24804</c:v>
                </c:pt>
                <c:pt idx="21">
                  <c:v>25393</c:v>
                </c:pt>
                <c:pt idx="22">
                  <c:v>7340</c:v>
                </c:pt>
                <c:pt idx="23">
                  <c:v>13802</c:v>
                </c:pt>
                <c:pt idx="24">
                  <c:v>29467</c:v>
                </c:pt>
                <c:pt idx="25">
                  <c:v>22162</c:v>
                </c:pt>
                <c:pt idx="26">
                  <c:v>11886</c:v>
                </c:pt>
                <c:pt idx="27">
                  <c:v>13378</c:v>
                </c:pt>
                <c:pt idx="28">
                  <c:v>47918</c:v>
                </c:pt>
                <c:pt idx="29">
                  <c:v>30594</c:v>
                </c:pt>
                <c:pt idx="30">
                  <c:v>46136</c:v>
                </c:pt>
                <c:pt idx="31">
                  <c:v>42156</c:v>
                </c:pt>
                <c:pt idx="32">
                  <c:v>24648</c:v>
                </c:pt>
                <c:pt idx="33">
                  <c:v>27315</c:v>
                </c:pt>
                <c:pt idx="34">
                  <c:v>41002</c:v>
                </c:pt>
                <c:pt idx="35">
                  <c:v>39116</c:v>
                </c:pt>
                <c:pt idx="36">
                  <c:v>47900</c:v>
                </c:pt>
                <c:pt idx="37">
                  <c:v>68012</c:v>
                </c:pt>
                <c:pt idx="38">
                  <c:v>47766</c:v>
                </c:pt>
                <c:pt idx="39">
                  <c:v>39254</c:v>
                </c:pt>
                <c:pt idx="40">
                  <c:v>32711</c:v>
                </c:pt>
                <c:pt idx="41">
                  <c:v>35299</c:v>
                </c:pt>
                <c:pt idx="42">
                  <c:v>34258</c:v>
                </c:pt>
                <c:pt idx="43">
                  <c:v>57625</c:v>
                </c:pt>
              </c:numCache>
            </c:numRef>
          </c:xVal>
          <c:yVal>
            <c:numRef>
              <c:f>'Q8'!$C$2:$C$45</c:f>
              <c:numCache>
                <c:formatCode>General</c:formatCode>
                <c:ptCount val="44"/>
                <c:pt idx="0">
                  <c:v>53.2</c:v>
                </c:pt>
                <c:pt idx="1">
                  <c:v>54.1</c:v>
                </c:pt>
                <c:pt idx="2">
                  <c:v>57.9</c:v>
                </c:pt>
                <c:pt idx="3">
                  <c:v>58.5</c:v>
                </c:pt>
                <c:pt idx="4">
                  <c:v>58.6</c:v>
                </c:pt>
                <c:pt idx="5">
                  <c:v>60</c:v>
                </c:pt>
                <c:pt idx="6">
                  <c:v>60.4</c:v>
                </c:pt>
                <c:pt idx="7">
                  <c:v>60.6</c:v>
                </c:pt>
                <c:pt idx="8">
                  <c:v>63.4</c:v>
                </c:pt>
                <c:pt idx="9">
                  <c:v>65.099999999999994</c:v>
                </c:pt>
                <c:pt idx="10">
                  <c:v>65.900000000000006</c:v>
                </c:pt>
                <c:pt idx="11">
                  <c:v>66.3</c:v>
                </c:pt>
                <c:pt idx="12">
                  <c:v>66.5</c:v>
                </c:pt>
                <c:pt idx="13">
                  <c:v>67.5</c:v>
                </c:pt>
                <c:pt idx="14">
                  <c:v>71</c:v>
                </c:pt>
                <c:pt idx="15">
                  <c:v>72.099999999999994</c:v>
                </c:pt>
                <c:pt idx="16">
                  <c:v>73.599999999999994</c:v>
                </c:pt>
                <c:pt idx="17">
                  <c:v>74.5</c:v>
                </c:pt>
                <c:pt idx="18">
                  <c:v>75.3</c:v>
                </c:pt>
                <c:pt idx="19">
                  <c:v>75.900000000000006</c:v>
                </c:pt>
                <c:pt idx="20">
                  <c:v>76</c:v>
                </c:pt>
                <c:pt idx="21">
                  <c:v>76.099999999999994</c:v>
                </c:pt>
                <c:pt idx="22">
                  <c:v>76.099999999999994</c:v>
                </c:pt>
                <c:pt idx="23">
                  <c:v>76.3</c:v>
                </c:pt>
                <c:pt idx="24">
                  <c:v>77</c:v>
                </c:pt>
                <c:pt idx="25">
                  <c:v>77.8</c:v>
                </c:pt>
                <c:pt idx="26">
                  <c:v>78.5</c:v>
                </c:pt>
                <c:pt idx="27">
                  <c:v>79.8</c:v>
                </c:pt>
                <c:pt idx="28">
                  <c:v>80.900000000000006</c:v>
                </c:pt>
                <c:pt idx="29">
                  <c:v>81.099999999999994</c:v>
                </c:pt>
                <c:pt idx="30">
                  <c:v>81.2</c:v>
                </c:pt>
                <c:pt idx="31">
                  <c:v>81.3</c:v>
                </c:pt>
                <c:pt idx="32">
                  <c:v>81.400000000000006</c:v>
                </c:pt>
                <c:pt idx="33">
                  <c:v>81.400000000000006</c:v>
                </c:pt>
                <c:pt idx="34">
                  <c:v>81.5</c:v>
                </c:pt>
                <c:pt idx="35">
                  <c:v>81.7</c:v>
                </c:pt>
                <c:pt idx="36">
                  <c:v>82</c:v>
                </c:pt>
                <c:pt idx="37">
                  <c:v>82.3</c:v>
                </c:pt>
                <c:pt idx="38">
                  <c:v>82.6</c:v>
                </c:pt>
                <c:pt idx="39">
                  <c:v>82.7</c:v>
                </c:pt>
                <c:pt idx="40">
                  <c:v>82.7</c:v>
                </c:pt>
                <c:pt idx="41">
                  <c:v>83.2</c:v>
                </c:pt>
                <c:pt idx="42">
                  <c:v>83.3</c:v>
                </c:pt>
                <c:pt idx="43">
                  <c:v>83.5</c:v>
                </c:pt>
              </c:numCache>
            </c:numRef>
          </c:yVal>
          <c:smooth val="0"/>
          <c:extLst>
            <c:ext xmlns:c16="http://schemas.microsoft.com/office/drawing/2014/chart" uri="{C3380CC4-5D6E-409C-BE32-E72D297353CC}">
              <c16:uniqueId val="{00000000-6CB7-4CA5-A651-2CCC282149C5}"/>
            </c:ext>
          </c:extLst>
        </c:ser>
        <c:dLbls>
          <c:showLegendKey val="0"/>
          <c:showVal val="0"/>
          <c:showCatName val="0"/>
          <c:showSerName val="0"/>
          <c:showPercent val="0"/>
          <c:showBubbleSize val="0"/>
        </c:dLbls>
        <c:axId val="904873808"/>
        <c:axId val="904871888"/>
      </c:scatterChart>
      <c:valAx>
        <c:axId val="904873808"/>
        <c:scaling>
          <c:orientation val="minMax"/>
          <c:max val="7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PIB par habitant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quot;€&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4871888"/>
        <c:crosses val="autoZero"/>
        <c:crossBetween val="midCat"/>
        <c:majorUnit val="5000"/>
        <c:minorUnit val="2000"/>
      </c:valAx>
      <c:valAx>
        <c:axId val="904871888"/>
        <c:scaling>
          <c:orientation val="minMax"/>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Espérance de vie (en années)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48738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effectLst/>
              </a:rPr>
              <a:t>Nuage de points et la droite de régression des espérances de vie sur les PIB par tête</a:t>
            </a:r>
            <a:r>
              <a:rPr lang="fr-FR"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'Q8'!$C$1</c:f>
              <c:strCache>
                <c:ptCount val="1"/>
                <c:pt idx="0">
                  <c:v>Esp Vie Naiss 2017</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1"/>
            <c:dispEq val="1"/>
            <c:trendlineLbl>
              <c:layout>
                <c:manualLayout>
                  <c:x val="-0.1013306278343943"/>
                  <c:y val="-1.531835205992511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fr-FR"/>
                </a:p>
              </c:txPr>
            </c:trendlineLbl>
          </c:trendline>
          <c:xVal>
            <c:numRef>
              <c:f>'Q8'!$B$2:$B$45</c:f>
              <c:numCache>
                <c:formatCode>General</c:formatCode>
                <c:ptCount val="44"/>
                <c:pt idx="0">
                  <c:v>1750</c:v>
                </c:pt>
                <c:pt idx="1">
                  <c:v>3481</c:v>
                </c:pt>
                <c:pt idx="2">
                  <c:v>19513</c:v>
                </c:pt>
                <c:pt idx="3">
                  <c:v>1953</c:v>
                </c:pt>
                <c:pt idx="4">
                  <c:v>3315</c:v>
                </c:pt>
                <c:pt idx="5">
                  <c:v>796</c:v>
                </c:pt>
                <c:pt idx="6">
                  <c:v>906</c:v>
                </c:pt>
                <c:pt idx="7">
                  <c:v>2067</c:v>
                </c:pt>
                <c:pt idx="8">
                  <c:v>3592</c:v>
                </c:pt>
                <c:pt idx="9">
                  <c:v>5694</c:v>
                </c:pt>
                <c:pt idx="10">
                  <c:v>1719</c:v>
                </c:pt>
                <c:pt idx="11">
                  <c:v>1358</c:v>
                </c:pt>
                <c:pt idx="12">
                  <c:v>16431</c:v>
                </c:pt>
                <c:pt idx="13">
                  <c:v>2384</c:v>
                </c:pt>
                <c:pt idx="14">
                  <c:v>2337</c:v>
                </c:pt>
                <c:pt idx="15">
                  <c:v>11100</c:v>
                </c:pt>
                <c:pt idx="16">
                  <c:v>5055</c:v>
                </c:pt>
                <c:pt idx="17">
                  <c:v>8288</c:v>
                </c:pt>
                <c:pt idx="18">
                  <c:v>13019</c:v>
                </c:pt>
                <c:pt idx="19">
                  <c:v>10275</c:v>
                </c:pt>
                <c:pt idx="20">
                  <c:v>24804</c:v>
                </c:pt>
                <c:pt idx="21">
                  <c:v>25393</c:v>
                </c:pt>
                <c:pt idx="22">
                  <c:v>7340</c:v>
                </c:pt>
                <c:pt idx="23">
                  <c:v>13802</c:v>
                </c:pt>
                <c:pt idx="24">
                  <c:v>29467</c:v>
                </c:pt>
                <c:pt idx="25">
                  <c:v>22162</c:v>
                </c:pt>
                <c:pt idx="26">
                  <c:v>11886</c:v>
                </c:pt>
                <c:pt idx="27">
                  <c:v>13378</c:v>
                </c:pt>
                <c:pt idx="28">
                  <c:v>47918</c:v>
                </c:pt>
                <c:pt idx="29">
                  <c:v>30594</c:v>
                </c:pt>
                <c:pt idx="30">
                  <c:v>46136</c:v>
                </c:pt>
                <c:pt idx="31">
                  <c:v>42156</c:v>
                </c:pt>
                <c:pt idx="32">
                  <c:v>24648</c:v>
                </c:pt>
                <c:pt idx="33">
                  <c:v>27315</c:v>
                </c:pt>
                <c:pt idx="34">
                  <c:v>41002</c:v>
                </c:pt>
                <c:pt idx="35">
                  <c:v>39116</c:v>
                </c:pt>
                <c:pt idx="36">
                  <c:v>47900</c:v>
                </c:pt>
                <c:pt idx="37">
                  <c:v>68012</c:v>
                </c:pt>
                <c:pt idx="38">
                  <c:v>47766</c:v>
                </c:pt>
                <c:pt idx="39">
                  <c:v>39254</c:v>
                </c:pt>
                <c:pt idx="40">
                  <c:v>32711</c:v>
                </c:pt>
                <c:pt idx="41">
                  <c:v>35299</c:v>
                </c:pt>
                <c:pt idx="42">
                  <c:v>34258</c:v>
                </c:pt>
                <c:pt idx="43">
                  <c:v>57625</c:v>
                </c:pt>
              </c:numCache>
            </c:numRef>
          </c:xVal>
          <c:yVal>
            <c:numRef>
              <c:f>'Q8'!$C$2:$C$45</c:f>
              <c:numCache>
                <c:formatCode>General</c:formatCode>
                <c:ptCount val="44"/>
                <c:pt idx="0">
                  <c:v>53.2</c:v>
                </c:pt>
                <c:pt idx="1">
                  <c:v>54.1</c:v>
                </c:pt>
                <c:pt idx="2">
                  <c:v>57.9</c:v>
                </c:pt>
                <c:pt idx="3">
                  <c:v>58.5</c:v>
                </c:pt>
                <c:pt idx="4">
                  <c:v>58.6</c:v>
                </c:pt>
                <c:pt idx="5">
                  <c:v>60</c:v>
                </c:pt>
                <c:pt idx="6">
                  <c:v>60.4</c:v>
                </c:pt>
                <c:pt idx="7">
                  <c:v>60.6</c:v>
                </c:pt>
                <c:pt idx="8">
                  <c:v>63.4</c:v>
                </c:pt>
                <c:pt idx="9">
                  <c:v>65.099999999999994</c:v>
                </c:pt>
                <c:pt idx="10">
                  <c:v>65.900000000000006</c:v>
                </c:pt>
                <c:pt idx="11">
                  <c:v>66.3</c:v>
                </c:pt>
                <c:pt idx="12">
                  <c:v>66.5</c:v>
                </c:pt>
                <c:pt idx="13">
                  <c:v>67.5</c:v>
                </c:pt>
                <c:pt idx="14">
                  <c:v>71</c:v>
                </c:pt>
                <c:pt idx="15">
                  <c:v>72.099999999999994</c:v>
                </c:pt>
                <c:pt idx="16">
                  <c:v>73.599999999999994</c:v>
                </c:pt>
                <c:pt idx="17">
                  <c:v>74.5</c:v>
                </c:pt>
                <c:pt idx="18">
                  <c:v>75.3</c:v>
                </c:pt>
                <c:pt idx="19">
                  <c:v>75.900000000000006</c:v>
                </c:pt>
                <c:pt idx="20">
                  <c:v>76</c:v>
                </c:pt>
                <c:pt idx="21">
                  <c:v>76.099999999999994</c:v>
                </c:pt>
                <c:pt idx="22">
                  <c:v>76.099999999999994</c:v>
                </c:pt>
                <c:pt idx="23">
                  <c:v>76.3</c:v>
                </c:pt>
                <c:pt idx="24">
                  <c:v>77</c:v>
                </c:pt>
                <c:pt idx="25">
                  <c:v>77.8</c:v>
                </c:pt>
                <c:pt idx="26">
                  <c:v>78.5</c:v>
                </c:pt>
                <c:pt idx="27">
                  <c:v>79.8</c:v>
                </c:pt>
                <c:pt idx="28">
                  <c:v>80.900000000000006</c:v>
                </c:pt>
                <c:pt idx="29">
                  <c:v>81.099999999999994</c:v>
                </c:pt>
                <c:pt idx="30">
                  <c:v>81.2</c:v>
                </c:pt>
                <c:pt idx="31">
                  <c:v>81.3</c:v>
                </c:pt>
                <c:pt idx="32">
                  <c:v>81.400000000000006</c:v>
                </c:pt>
                <c:pt idx="33">
                  <c:v>81.400000000000006</c:v>
                </c:pt>
                <c:pt idx="34">
                  <c:v>81.5</c:v>
                </c:pt>
                <c:pt idx="35">
                  <c:v>81.7</c:v>
                </c:pt>
                <c:pt idx="36">
                  <c:v>82</c:v>
                </c:pt>
                <c:pt idx="37">
                  <c:v>82.3</c:v>
                </c:pt>
                <c:pt idx="38">
                  <c:v>82.6</c:v>
                </c:pt>
                <c:pt idx="39">
                  <c:v>82.7</c:v>
                </c:pt>
                <c:pt idx="40">
                  <c:v>82.7</c:v>
                </c:pt>
                <c:pt idx="41">
                  <c:v>83.2</c:v>
                </c:pt>
                <c:pt idx="42">
                  <c:v>83.3</c:v>
                </c:pt>
                <c:pt idx="43">
                  <c:v>83.5</c:v>
                </c:pt>
              </c:numCache>
            </c:numRef>
          </c:yVal>
          <c:smooth val="0"/>
          <c:extLst>
            <c:ext xmlns:c16="http://schemas.microsoft.com/office/drawing/2014/chart" uri="{C3380CC4-5D6E-409C-BE32-E72D297353CC}">
              <c16:uniqueId val="{00000002-6ABD-48E6-924B-A1230FE85B7A}"/>
            </c:ext>
          </c:extLst>
        </c:ser>
        <c:dLbls>
          <c:showLegendKey val="0"/>
          <c:showVal val="0"/>
          <c:showCatName val="0"/>
          <c:showSerName val="0"/>
          <c:showPercent val="0"/>
          <c:showBubbleSize val="0"/>
        </c:dLbls>
        <c:axId val="904873808"/>
        <c:axId val="904871888"/>
      </c:scatterChart>
      <c:valAx>
        <c:axId val="904873808"/>
        <c:scaling>
          <c:orientation val="minMax"/>
          <c:max val="7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PIB par habitant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quot;€&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4871888"/>
        <c:crosses val="autoZero"/>
        <c:crossBetween val="midCat"/>
        <c:majorUnit val="5000"/>
        <c:minorUnit val="2000"/>
      </c:valAx>
      <c:valAx>
        <c:axId val="904871888"/>
        <c:scaling>
          <c:orientation val="minMax"/>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Espérance de vie (en années)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48738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Espérance de vie : Boite à moustaches</cx:v>
        </cx:txData>
      </cx:tx>
      <cx:txPr>
        <a:bodyPr spcFirstLastPara="1" vertOverflow="ellipsis" horzOverflow="overflow" wrap="square" lIns="0" tIns="0" rIns="0" bIns="0" anchor="ctr" anchorCtr="1"/>
        <a:lstStyle/>
        <a:p>
          <a:pPr algn="ctr" rtl="0">
            <a:defRPr/>
          </a:pPr>
          <a:r>
            <a:rPr lang="fr-FR" sz="1400" b="1" i="0" u="none" strike="noStrike" baseline="0">
              <a:solidFill>
                <a:sysClr val="windowText" lastClr="000000">
                  <a:lumMod val="65000"/>
                  <a:lumOff val="35000"/>
                </a:sysClr>
              </a:solidFill>
              <a:latin typeface="Aptos Narrow" panose="02110004020202020204"/>
            </a:rPr>
            <a:t>Espérance de vie : Boite à moustaches</a:t>
          </a:r>
        </a:p>
      </cx:txPr>
    </cx:title>
    <cx:plotArea>
      <cx:plotAreaRegion>
        <cx:series layoutId="boxWhisker" uniqueId="{89793295-9D66-4345-A362-AC5679CEB8C1}">
          <cx:tx>
            <cx:txData>
              <cx:f>_xlchart.v1.0</cx:f>
              <cx:v>Esp Vie Naiss 2017</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dataId val="0"/>
          <cx:layoutPr>
            <cx:visibility meanLine="0" meanMarker="1" nonoutliers="1" outliers="1"/>
            <cx:statistics quartileMethod="exclusive"/>
          </cx:layoutPr>
        </cx:series>
      </cx:plotAreaRegion>
      <cx:axis id="0" hidden="1">
        <cx:catScaling gapWidth="0.699999988"/>
        <cx:tickLabels/>
      </cx:axis>
      <cx:axis id="1">
        <cx:valScaling min="50"/>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Nombre de pays par classes d'espérance de vie</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Aptos Narrow" panose="02110004020202020204"/>
            </a:rPr>
            <a:t>Nombre de pays par classes d'espérance de vie</a:t>
          </a:r>
        </a:p>
      </cx:txPr>
    </cx:title>
    <cx:plotArea>
      <cx:plotAreaRegion>
        <cx:series layoutId="clusteredColumn" uniqueId="{01B47A4E-548D-4A65-A9D2-6A05CF558BFB}">
          <cx:tx>
            <cx:txData>
              <cx:f>_xlchart.v1.3</cx:f>
              <cx:v>Esp Vie Naiss 2017</cx:v>
            </cx:txData>
          </cx:tx>
          <cx:dataLabels>
            <cx:visibility seriesName="0" categoryName="0" value="1"/>
          </cx:dataLabels>
          <cx:dataId val="0"/>
          <cx:layoutPr>
            <cx:binning intervalClosed="r" underflow="55">
              <cx:binSize val="5"/>
            </cx:binning>
          </cx:layoutPr>
        </cx:series>
      </cx:plotAreaRegion>
      <cx:axis id="0">
        <cx:catScaling gapWidth="0"/>
        <cx:title>
          <cx:tx>
            <cx:txData>
              <cx:v>Classes d'espérance de vie</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Aptos Narrow" panose="02110004020202020204"/>
                </a:rPr>
                <a:t>Classes d'espérance de vie</a:t>
              </a:r>
            </a:p>
          </cx:txPr>
        </cx:title>
        <cx:tickLabels/>
      </cx:axis>
      <cx:axis id="1">
        <cx:valScaling/>
        <cx:title>
          <cx:tx>
            <cx:txData>
              <cx:v>Nommbre de pays</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Aptos Narrow" panose="02110004020202020204"/>
                </a:rPr>
                <a:t>Nommbre de pays</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chartData>
  <cx:chart>
    <cx:title pos="t" align="ctr" overlay="0">
      <cx:tx>
        <cx:txData>
          <cx:v>Nombre de pays par classes d'espérance de vie</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Aptos Narrow" panose="02110004020202020204"/>
            </a:rPr>
            <a:t>Nombre de pays par classes d'espérance de vie</a:t>
          </a:r>
        </a:p>
      </cx:txPr>
    </cx:title>
    <cx:plotArea>
      <cx:plotAreaRegion>
        <cx:series layoutId="clusteredColumn" uniqueId="{01B47A4E-548D-4A65-A9D2-6A05CF558BFB}">
          <cx:tx>
            <cx:txData>
              <cx:f>_xlchart.v1.6</cx:f>
              <cx:v>Esp Vie Naiss 2017</cx:v>
            </cx:txData>
          </cx:tx>
          <cx:dataLabels>
            <cx:visibility seriesName="0" categoryName="0" value="1"/>
          </cx:dataLabels>
          <cx:dataId val="0"/>
          <cx:layoutPr>
            <cx:binning intervalClosed="r" underflow="55">
              <cx:binSize val="5"/>
            </cx:binning>
          </cx:layoutPr>
        </cx:series>
      </cx:plotAreaRegion>
      <cx:axis id="0">
        <cx:catScaling gapWidth="0"/>
        <cx:title>
          <cx:tx>
            <cx:txData>
              <cx:v>Classes d'espérance de vie</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Aptos Narrow" panose="02110004020202020204"/>
                </a:rPr>
                <a:t>Classes d'espérance de vie</a:t>
              </a:r>
            </a:p>
          </cx:txPr>
        </cx:title>
        <cx:tickLabels/>
      </cx:axis>
      <cx:axis id="1">
        <cx:valScaling/>
        <cx:title>
          <cx:tx>
            <cx:txData>
              <cx:v>Nommbre de pays</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Aptos Narrow" panose="02110004020202020204"/>
                </a:rPr>
                <a:t>Nommbre de pays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E62C1C-AF04-4DF8-9B7C-637261A06C50}">
  <sheetPr>
    <tabColor theme="5"/>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5C5F402-0912-4D90-9F4B-2BFC3C7E44E4}">
  <sheetPr>
    <tabColor theme="5"/>
  </sheetPr>
  <sheetViews>
    <sheetView zoomScale="81"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2748C59-6DD7-4A68-8D75-9982AC02EE56}">
  <sheetPr>
    <tabColor theme="5"/>
  </sheetPr>
  <sheetViews>
    <sheetView zoomScale="81"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DE934F-4B6F-421C-A3C7-1F3C29B10A8A}">
  <sheetPr>
    <tabColor theme="5"/>
  </sheetPr>
  <sheetViews>
    <sheetView zoomScale="81"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microsoft.com/office/2014/relationships/chartEx" Target="../charts/chartEx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323850</xdr:colOff>
      <xdr:row>0</xdr:row>
      <xdr:rowOff>57150</xdr:rowOff>
    </xdr:from>
    <xdr:to>
      <xdr:col>11</xdr:col>
      <xdr:colOff>552450</xdr:colOff>
      <xdr:row>30</xdr:row>
      <xdr:rowOff>28575</xdr:rowOff>
    </xdr:to>
    <xdr:sp macro="" textlink="">
      <xdr:nvSpPr>
        <xdr:cNvPr id="2" name="ZoneTexte 1">
          <a:extLst>
            <a:ext uri="{FF2B5EF4-FFF2-40B4-BE49-F238E27FC236}">
              <a16:creationId xmlns:a16="http://schemas.microsoft.com/office/drawing/2014/main" id="{C5234B14-6921-DACB-21F3-054094D20F19}"/>
            </a:ext>
          </a:extLst>
        </xdr:cNvPr>
        <xdr:cNvSpPr txBox="1"/>
      </xdr:nvSpPr>
      <xdr:spPr>
        <a:xfrm>
          <a:off x="323850" y="57150"/>
          <a:ext cx="8610600" cy="482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800"/>
            <a:t>Ce jeu de données </a:t>
          </a:r>
          <a:r>
            <a:rPr lang="fr-FR" sz="2800" b="1"/>
            <a:t>porte sur une population de 44 pays</a:t>
          </a:r>
          <a:r>
            <a:rPr lang="fr-FR" sz="2800"/>
            <a:t> (source PNUD 2017) ; l'individu statistique est donc </a:t>
          </a:r>
          <a:r>
            <a:rPr lang="fr-FR" sz="2800" b="1"/>
            <a:t>un pays et non l'habitant</a:t>
          </a:r>
          <a:r>
            <a:rPr lang="fr-FR" sz="2800"/>
            <a:t>. </a:t>
          </a:r>
        </a:p>
        <a:p>
          <a:endParaRPr lang="fr-FR" sz="2800"/>
        </a:p>
        <a:p>
          <a:r>
            <a:rPr lang="fr-FR" sz="2800"/>
            <a:t>Les variables disponibles sont principalement </a:t>
          </a:r>
          <a:r>
            <a:rPr lang="fr-FR" sz="2800" b="1"/>
            <a:t>quantitatives continues</a:t>
          </a:r>
          <a:r>
            <a:rPr lang="fr-FR" sz="2800"/>
            <a:t> (IDH, PIB/habitant, Espérance de vie, Scolarisation) et permettent de mesurer le niveau de développement moyen. On dispose également du </a:t>
          </a:r>
          <a:r>
            <a:rPr lang="fr-FR" sz="2800" b="1"/>
            <a:t>Ratio de Palma</a:t>
          </a:r>
          <a:r>
            <a:rPr lang="fr-FR" sz="2800"/>
            <a:t> pour évaluer les inégalités internes et du code </a:t>
          </a:r>
          <a:r>
            <a:rPr lang="fr-FR" sz="2800" b="1"/>
            <a:t>ISO3</a:t>
          </a:r>
          <a:r>
            <a:rPr lang="fr-FR" sz="2800"/>
            <a:t> pour l'identification géographique</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288780" cy="6065520"/>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E50CEB52-E500-6968-E4C0-9225EE382F63}"/>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042F3E83-2533-AE34-8A0E-7DD77ED2D0AD}"/>
            </a:ext>
          </a:extLst>
        </cdr:cNvPr>
        <cdr:cNvSpPr>
          <a:spLocks xmlns:a="http://schemas.openxmlformats.org/drawingml/2006/main" noTextEdit="1"/>
        </cdr:cNvSpPr>
      </cdr:nvSpPr>
      <cdr:spPr>
        <a:xfrm xmlns:a="http://schemas.openxmlformats.org/drawingml/2006/main">
          <a:off x="0" y="0"/>
          <a:ext cx="9288780" cy="6065520"/>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fr-FR" sz="1100"/>
            <a:t>Ce graphique n’est pas disponible dans votre version d’Excel.
La modification de cette forme ou l’enregistrement de ce classeur dans un autre format de fichier endommagera le graphique de façon irréparable.</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285111" cy="6058370"/>
    <xdr:graphicFrame macro="">
      <xdr:nvGraphicFramePr>
        <xdr:cNvPr id="2" name="Graphique 1">
          <a:extLst>
            <a:ext uri="{FF2B5EF4-FFF2-40B4-BE49-F238E27FC236}">
              <a16:creationId xmlns:a16="http://schemas.microsoft.com/office/drawing/2014/main" id="{E56BDE85-2654-1308-D332-8354D18E18B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Graphique 1">
          <a:extLst xmlns:a="http://schemas.openxmlformats.org/drawingml/2006/main">
            <a:ext uri="{FF2B5EF4-FFF2-40B4-BE49-F238E27FC236}">
              <a16:creationId xmlns:a16="http://schemas.microsoft.com/office/drawing/2014/main" id="{1A324AC6-FD73-1958-9F05-5D144C91CE5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6.xml><?xml version="1.0" encoding="utf-8"?>
<xdr:wsDr xmlns:xdr="http://schemas.openxmlformats.org/drawingml/2006/spreadsheetDrawing" xmlns:a="http://schemas.openxmlformats.org/drawingml/2006/main">
  <xdr:twoCellAnchor>
    <xdr:from>
      <xdr:col>3</xdr:col>
      <xdr:colOff>285749</xdr:colOff>
      <xdr:row>2</xdr:row>
      <xdr:rowOff>85725</xdr:rowOff>
    </xdr:from>
    <xdr:to>
      <xdr:col>12</xdr:col>
      <xdr:colOff>238124</xdr:colOff>
      <xdr:row>27</xdr:row>
      <xdr:rowOff>38100</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88833523-5BB9-4CE5-0478-2E918BDAEB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63189" y="421005"/>
              <a:ext cx="7084695" cy="414337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absoluteAnchor>
    <xdr:pos x="0" y="0"/>
    <xdr:ext cx="9285111" cy="6058370"/>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73878EC7-7ED6-8B22-892E-C4A95A2D95F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3C49D829-4C96-A0A9-90B4-9AFA3ABD410F}"/>
            </a:ext>
          </a:extLst>
        </cdr:cNvPr>
        <cdr:cNvSpPr>
          <a:spLocks xmlns:a="http://schemas.openxmlformats.org/drawingml/2006/main" noTextEdit="1"/>
        </cdr:cNvSpPr>
      </cdr:nvSpPr>
      <cdr:spPr>
        <a:xfrm xmlns:a="http://schemas.openxmlformats.org/drawingml/2006/main">
          <a:off x="0" y="0"/>
          <a:ext cx="9285111" cy="6058370"/>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fr-FR" sz="1100"/>
            <a:t>Ce graphique n’est pas disponible dans votre version d’Excel.
La modification de cette forme ou l’enregistrement de ce classeur dans un autre format de fichier endommagera le graphique de façon irréparable.</a:t>
          </a:r>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471486</xdr:colOff>
      <xdr:row>3</xdr:row>
      <xdr:rowOff>57149</xdr:rowOff>
    </xdr:from>
    <xdr:to>
      <xdr:col>14</xdr:col>
      <xdr:colOff>361949</xdr:colOff>
      <xdr:row>26</xdr:row>
      <xdr:rowOff>19049</xdr:rowOff>
    </xdr:to>
    <xdr:graphicFrame macro="">
      <xdr:nvGraphicFramePr>
        <xdr:cNvPr id="2" name="Graphique 1">
          <a:extLst>
            <a:ext uri="{FF2B5EF4-FFF2-40B4-BE49-F238E27FC236}">
              <a16:creationId xmlns:a16="http://schemas.microsoft.com/office/drawing/2014/main" id="{EECF7BEE-FC59-D3D4-0DBA-AA468D5E7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449580</xdr:colOff>
      <xdr:row>5</xdr:row>
      <xdr:rowOff>15240</xdr:rowOff>
    </xdr:from>
    <xdr:to>
      <xdr:col>19</xdr:col>
      <xdr:colOff>259080</xdr:colOff>
      <xdr:row>15</xdr:row>
      <xdr:rowOff>45720</xdr:rowOff>
    </xdr:to>
    <xdr:sp macro="" textlink="">
      <xdr:nvSpPr>
        <xdr:cNvPr id="3" name="ZoneTexte 2">
          <a:extLst>
            <a:ext uri="{FF2B5EF4-FFF2-40B4-BE49-F238E27FC236}">
              <a16:creationId xmlns:a16="http://schemas.microsoft.com/office/drawing/2014/main" id="{5B03C8B7-0C4F-45FF-9038-E6DD5302A101}"/>
            </a:ext>
          </a:extLst>
        </xdr:cNvPr>
        <xdr:cNvSpPr txBox="1"/>
      </xdr:nvSpPr>
      <xdr:spPr>
        <a:xfrm>
          <a:off x="11955780" y="853440"/>
          <a:ext cx="3771900" cy="1706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t>r</a:t>
          </a:r>
          <a:r>
            <a:rPr lang="fr-FR" sz="1100" b="1" baseline="0"/>
            <a:t> = 0,76 (coefficient de corrélation)</a:t>
          </a:r>
          <a:r>
            <a:rPr lang="fr-FR" sz="1100" baseline="0"/>
            <a:t> - </a:t>
          </a:r>
          <a:r>
            <a:rPr lang="fr-FR"/>
            <a:t>Les deux variables varient dans le même sens</a:t>
          </a:r>
        </a:p>
        <a:p>
          <a:endParaRPr lang="fr-FR" sz="1100" baseline="0"/>
        </a:p>
        <a:p>
          <a:endParaRPr lang="fr-FR" sz="1100" baseline="0"/>
        </a:p>
        <a:p>
          <a:r>
            <a:rPr lang="fr-FR" sz="1100" b="1" baseline="0"/>
            <a:t>R² = 0,586 (coefficient de détermination)</a:t>
          </a:r>
          <a:r>
            <a:rPr lang="fr-FR" sz="1100" baseline="0"/>
            <a:t> - </a:t>
          </a:r>
          <a:r>
            <a:rPr lang="fr-FR"/>
            <a:t>Le modèle linéaire explique </a:t>
          </a:r>
          <a:r>
            <a:rPr lang="fr-FR" b="1"/>
            <a:t>58,6 %</a:t>
          </a:r>
          <a:r>
            <a:rPr lang="fr-FR"/>
            <a:t> de la variance de l'espérance de vie.</a:t>
          </a:r>
          <a:endParaRPr lang="fr-FR" sz="1100" baseline="0"/>
        </a:p>
        <a:p>
          <a:r>
            <a:rPr lang="fr-FR"/>
            <a:t>Autrement dit, en connaissant seulement le PIB d'un pays, on peut deviner près de 60% de son espérance de vie</a:t>
          </a:r>
          <a:endParaRPr lang="fr-FR" sz="1100" baseline="0"/>
        </a:p>
      </xdr:txBody>
    </xdr:sp>
    <xdr:clientData/>
  </xdr:twoCellAnchor>
</xdr:wsDr>
</file>

<file path=xl/drawings/drawing10.xml><?xml version="1.0" encoding="utf-8"?>
<xdr:wsDr xmlns:xdr="http://schemas.openxmlformats.org/drawingml/2006/spreadsheetDrawing" xmlns:a="http://schemas.openxmlformats.org/drawingml/2006/main">
  <xdr:absoluteAnchor>
    <xdr:pos x="0" y="0"/>
    <xdr:ext cx="9285111" cy="6058370"/>
    <xdr:graphicFrame macro="">
      <xdr:nvGraphicFramePr>
        <xdr:cNvPr id="2" name="Graphique 1">
          <a:extLst>
            <a:ext uri="{FF2B5EF4-FFF2-40B4-BE49-F238E27FC236}">
              <a16:creationId xmlns:a16="http://schemas.microsoft.com/office/drawing/2014/main" id="{A1B9D1D7-9FDD-7962-B24B-D1AF678B429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twoCellAnchor>
    <xdr:from>
      <xdr:col>13</xdr:col>
      <xdr:colOff>893184</xdr:colOff>
      <xdr:row>25</xdr:row>
      <xdr:rowOff>70348</xdr:rowOff>
    </xdr:from>
    <xdr:to>
      <xdr:col>19</xdr:col>
      <xdr:colOff>750756</xdr:colOff>
      <xdr:row>45</xdr:row>
      <xdr:rowOff>59134</xdr:rowOff>
    </xdr:to>
    <xdr:sp macro="" textlink="">
      <xdr:nvSpPr>
        <xdr:cNvPr id="2" name="ZoneTexte 1">
          <a:extLst>
            <a:ext uri="{FF2B5EF4-FFF2-40B4-BE49-F238E27FC236}">
              <a16:creationId xmlns:a16="http://schemas.microsoft.com/office/drawing/2014/main" id="{6BE166A2-A5CD-4088-A069-EE08CC20C6AF}"/>
            </a:ext>
          </a:extLst>
        </xdr:cNvPr>
        <xdr:cNvSpPr txBox="1"/>
      </xdr:nvSpPr>
      <xdr:spPr>
        <a:xfrm>
          <a:off x="15448488" y="4785913"/>
          <a:ext cx="6980616" cy="3301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r>
            <a:rPr lang="fr-FR" sz="1600" b="1">
              <a:effectLst/>
              <a:latin typeface="Google Sans Text"/>
            </a:rPr>
            <a:t>Lecture et Interprétation du modèle de régression :</a:t>
          </a:r>
          <a:endParaRPr lang="fr-FR" sz="1600">
            <a:effectLst/>
            <a:latin typeface="Google Sans Text"/>
          </a:endParaRPr>
        </a:p>
        <a:p>
          <a:pPr>
            <a:buFont typeface="Arial" panose="020B0604020202020204" pitchFamily="34" charset="0"/>
            <a:buChar char="•"/>
          </a:pPr>
          <a:r>
            <a:rPr lang="fr-FR" sz="1600" b="1">
              <a:effectLst/>
              <a:latin typeface="Google Sans Text"/>
            </a:rPr>
            <a:t>Qualité du modèle (R²) :</a:t>
          </a:r>
          <a:r>
            <a:rPr lang="fr-FR" sz="1600">
              <a:effectLst/>
              <a:latin typeface="Google Sans Text"/>
            </a:rPr>
            <a:t> Le modèle est excellent. Les trois variables choisies expliquent à elles </a:t>
          </a:r>
          <a:r>
            <a:rPr lang="fr-FR" sz="1600">
              <a:solidFill>
                <a:schemeClr val="accent1"/>
              </a:solidFill>
              <a:effectLst/>
              <a:latin typeface="Google Sans Text"/>
            </a:rPr>
            <a:t>seules </a:t>
          </a:r>
          <a:r>
            <a:rPr lang="fr-FR" sz="1600" b="1">
              <a:solidFill>
                <a:schemeClr val="accent1"/>
              </a:solidFill>
              <a:effectLst/>
              <a:latin typeface="Google Sans Text"/>
            </a:rPr>
            <a:t>80 %</a:t>
          </a:r>
          <a:r>
            <a:rPr lang="fr-FR" sz="1600">
              <a:solidFill>
                <a:schemeClr val="accent1"/>
              </a:solidFill>
              <a:effectLst/>
              <a:latin typeface="Google Sans Text"/>
            </a:rPr>
            <a:t> </a:t>
          </a:r>
          <a:r>
            <a:rPr lang="fr-FR" sz="1600">
              <a:effectLst/>
              <a:latin typeface="Google Sans Text"/>
            </a:rPr>
            <a:t>des variations d'espérance de vie entre les pays.</a:t>
          </a:r>
        </a:p>
        <a:p>
          <a:pPr>
            <a:buFont typeface="Arial" panose="020B0604020202020204" pitchFamily="34" charset="0"/>
            <a:buChar char="•"/>
          </a:pPr>
          <a:r>
            <a:rPr lang="fr-FR" sz="1600" b="1">
              <a:effectLst/>
              <a:latin typeface="Google Sans Text"/>
            </a:rPr>
            <a:t>Le rôle clé de l'Éducation :</a:t>
          </a:r>
          <a:r>
            <a:rPr lang="fr-FR" sz="1600">
              <a:effectLst/>
              <a:latin typeface="Google Sans Text"/>
            </a:rPr>
            <a:t> C'est la seule variable statistiquement significative </a:t>
          </a:r>
          <a:r>
            <a:rPr lang="fr-FR" sz="1600">
              <a:solidFill>
                <a:schemeClr val="accent1"/>
              </a:solidFill>
              <a:effectLst/>
              <a:latin typeface="Google Sans Text"/>
            </a:rPr>
            <a:t>(Probabilité &lt; 0,05)</a:t>
          </a:r>
          <a:r>
            <a:rPr lang="fr-FR" sz="1600">
              <a:effectLst/>
              <a:latin typeface="Google Sans Text"/>
            </a:rPr>
            <a:t>. Chaque année d'étude supplémentaire augmente l'espérance de vie </a:t>
          </a:r>
          <a:r>
            <a:rPr lang="fr-FR" sz="1600">
              <a:solidFill>
                <a:schemeClr val="accent1"/>
              </a:solidFill>
              <a:effectLst/>
              <a:latin typeface="Google Sans Text"/>
            </a:rPr>
            <a:t>de </a:t>
          </a:r>
          <a:r>
            <a:rPr lang="fr-FR" sz="1600" b="1">
              <a:solidFill>
                <a:schemeClr val="accent1"/>
              </a:solidFill>
              <a:effectLst/>
              <a:latin typeface="Google Sans Text"/>
            </a:rPr>
            <a:t>2,16 ans</a:t>
          </a:r>
          <a:r>
            <a:rPr lang="fr-FR" sz="1600">
              <a:effectLst/>
              <a:latin typeface="Google Sans Text"/>
            </a:rPr>
            <a:t>.</a:t>
          </a:r>
        </a:p>
        <a:p>
          <a:pPr>
            <a:buFont typeface="Arial" panose="020B0604020202020204" pitchFamily="34" charset="0"/>
            <a:buChar char="•"/>
          </a:pPr>
          <a:r>
            <a:rPr lang="fr-FR" sz="1600" b="1">
              <a:effectLst/>
              <a:latin typeface="Google Sans Text"/>
            </a:rPr>
            <a:t>La richesse (PIB) non-significative :</a:t>
          </a:r>
          <a:r>
            <a:rPr lang="fr-FR" sz="1600">
              <a:effectLst/>
              <a:latin typeface="Google Sans Text"/>
            </a:rPr>
            <a:t> Une fois le niveau d'éducation pris en compte, le PIB n'a plus d'impact direct significatif. Cela suggère que c'est l'investissement dans le capital humain (école) qui améliore la santé, plus que la simple richesse économique.</a:t>
          </a:r>
        </a:p>
        <a:p>
          <a:pPr>
            <a:buFont typeface="Arial" panose="020B0604020202020204" pitchFamily="34" charset="0"/>
            <a:buChar char="•"/>
          </a:pPr>
          <a:r>
            <a:rPr lang="fr-FR" sz="1600" b="1">
              <a:effectLst/>
              <a:latin typeface="Google Sans Text"/>
            </a:rPr>
            <a:t>Point de départ (Constante) :</a:t>
          </a:r>
          <a:r>
            <a:rPr lang="fr-FR" sz="1600">
              <a:effectLst/>
              <a:latin typeface="Google Sans Text"/>
            </a:rPr>
            <a:t> L'espérance de vie théorique d'un pays sans aucun développement (0 éducation, 0 PIB) serait </a:t>
          </a:r>
          <a:r>
            <a:rPr lang="fr-FR" sz="1600">
              <a:solidFill>
                <a:schemeClr val="accent1"/>
              </a:solidFill>
              <a:effectLst/>
              <a:latin typeface="Google Sans Text"/>
            </a:rPr>
            <a:t>de </a:t>
          </a:r>
          <a:r>
            <a:rPr lang="fr-FR" sz="1600" b="1">
              <a:solidFill>
                <a:schemeClr val="accent1"/>
              </a:solidFill>
              <a:effectLst/>
              <a:latin typeface="Google Sans Text"/>
            </a:rPr>
            <a:t>43 ans</a:t>
          </a:r>
          <a:r>
            <a:rPr lang="fr-FR" sz="1600">
              <a:solidFill>
                <a:schemeClr val="accent1"/>
              </a:solidFill>
              <a:effectLst/>
              <a:latin typeface="Google Sans Text"/>
            </a:rPr>
            <a:t>.</a:t>
          </a:r>
        </a:p>
      </xdr:txBody>
    </xdr:sp>
    <xdr:clientData/>
  </xdr:twoCellAnchor>
  <xdr:twoCellAnchor>
    <xdr:from>
      <xdr:col>7</xdr:col>
      <xdr:colOff>206279</xdr:colOff>
      <xdr:row>25</xdr:row>
      <xdr:rowOff>1879</xdr:rowOff>
    </xdr:from>
    <xdr:to>
      <xdr:col>13</xdr:col>
      <xdr:colOff>428287</xdr:colOff>
      <xdr:row>40</xdr:row>
      <xdr:rowOff>33130</xdr:rowOff>
    </xdr:to>
    <xdr:sp macro="" textlink="">
      <xdr:nvSpPr>
        <xdr:cNvPr id="3" name="ZoneTexte 2">
          <a:extLst>
            <a:ext uri="{FF2B5EF4-FFF2-40B4-BE49-F238E27FC236}">
              <a16:creationId xmlns:a16="http://schemas.microsoft.com/office/drawing/2014/main" id="{48773992-F608-4374-8896-C277DEAC23B3}"/>
            </a:ext>
          </a:extLst>
        </xdr:cNvPr>
        <xdr:cNvSpPr txBox="1"/>
      </xdr:nvSpPr>
      <xdr:spPr>
        <a:xfrm>
          <a:off x="8002975" y="4717444"/>
          <a:ext cx="6980616" cy="2516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t>ZONE 1 : Le résumé du modèle</a:t>
          </a:r>
        </a:p>
        <a:p>
          <a:pPr marL="0" marR="0" lvl="0" indent="0" defTabSz="914400" eaLnBrk="1" fontAlgn="auto" latinLnBrk="0" hangingPunct="1">
            <a:lnSpc>
              <a:spcPct val="100000"/>
            </a:lnSpc>
            <a:spcBef>
              <a:spcPts val="0"/>
            </a:spcBef>
            <a:spcAft>
              <a:spcPts val="0"/>
            </a:spcAft>
            <a:buClrTx/>
            <a:buSzTx/>
            <a:buFontTx/>
            <a:buNone/>
            <a:tabLst/>
            <a:defRPr/>
          </a:pPr>
          <a:r>
            <a:rPr lang="fr-FR" sz="1600" i="1"/>
            <a:t>C'est ici qu'on juge la </a:t>
          </a:r>
          <a:r>
            <a:rPr lang="fr-FR" sz="1600" b="1" i="1"/>
            <a:t>performance globale</a:t>
          </a:r>
          <a:r>
            <a:rPr lang="fr-FR" sz="1600" i="1"/>
            <a:t>.</a:t>
          </a:r>
          <a:endParaRPr lang="fr-FR" sz="1600"/>
        </a:p>
        <a:p>
          <a:pPr>
            <a:buNone/>
          </a:pPr>
          <a:endParaRPr lang="fr-FR" sz="1600">
            <a:solidFill>
              <a:schemeClr val="accent1"/>
            </a:solidFill>
            <a:effectLst/>
            <a:latin typeface="Google Sans Text"/>
          </a:endParaRPr>
        </a:p>
        <a:p>
          <a:pPr>
            <a:buNone/>
          </a:pPr>
          <a:r>
            <a:rPr lang="fr-FR" sz="1600"/>
            <a:t>Coefficient de détermination multiple (r) : 0,89 ; C'est la corrélation</a:t>
          </a:r>
        </a:p>
        <a:p>
          <a:pPr>
            <a:buNone/>
          </a:pPr>
          <a:endParaRPr lang="fr-FR" sz="1600">
            <a:solidFill>
              <a:schemeClr val="accent1"/>
            </a:solidFill>
            <a:effectLst/>
            <a:latin typeface="Google Sans Text"/>
          </a:endParaRPr>
        </a:p>
        <a:p>
          <a:pPr>
            <a:buNone/>
          </a:pPr>
          <a:r>
            <a:rPr lang="fr-FR" sz="1600"/>
            <a:t>Coefficient de détermination (</a:t>
          </a:r>
          <a:r>
            <a:rPr lang="fr-FR" sz="1600">
              <a:solidFill>
                <a:schemeClr val="dk1"/>
              </a:solidFill>
              <a:effectLst/>
              <a:latin typeface="+mn-lt"/>
              <a:ea typeface="+mn-ea"/>
              <a:cs typeface="+mn-cs"/>
            </a:rPr>
            <a:t>R²)  : 0,80 ; C'est</a:t>
          </a:r>
          <a:r>
            <a:rPr lang="fr-FR" sz="1600" baseline="0">
              <a:solidFill>
                <a:schemeClr val="dk1"/>
              </a:solidFill>
              <a:effectLst/>
              <a:latin typeface="+mn-lt"/>
              <a:ea typeface="+mn-ea"/>
              <a:cs typeface="+mn-cs"/>
            </a:rPr>
            <a:t> la détermination (r au carré) ; C'est la note du modèle, qui explique 80 % des écarts des espérance de vie.</a:t>
          </a:r>
        </a:p>
        <a:p>
          <a:pPr>
            <a:buNone/>
          </a:pPr>
          <a:endParaRPr lang="fr-FR" sz="1600" baseline="0">
            <a:solidFill>
              <a:schemeClr val="dk1"/>
            </a:solidFill>
            <a:effectLst/>
            <a:latin typeface="+mn-lt"/>
            <a:ea typeface="+mn-ea"/>
            <a:cs typeface="+mn-cs"/>
          </a:endParaRPr>
        </a:p>
        <a:p>
          <a:pPr>
            <a:buNone/>
          </a:pPr>
          <a:r>
            <a:rPr lang="fr-FR" sz="1600" baseline="0">
              <a:solidFill>
                <a:schemeClr val="dk1"/>
              </a:solidFill>
              <a:effectLst/>
              <a:latin typeface="+mn-lt"/>
              <a:ea typeface="+mn-ea"/>
              <a:cs typeface="+mn-cs"/>
            </a:rPr>
            <a:t>Observation (N) : 44 ; c'est le nombre de pays dans le modèle </a:t>
          </a:r>
          <a:endParaRPr lang="fr-FR" sz="1600">
            <a:solidFill>
              <a:schemeClr val="accent1"/>
            </a:solidFill>
            <a:effectLst/>
            <a:latin typeface="Google Sans Text"/>
          </a:endParaRPr>
        </a:p>
      </xdr:txBody>
    </xdr:sp>
    <xdr:clientData/>
  </xdr:twoCellAnchor>
  <xdr:twoCellAnchor>
    <xdr:from>
      <xdr:col>7</xdr:col>
      <xdr:colOff>259287</xdr:colOff>
      <xdr:row>42</xdr:row>
      <xdr:rowOff>21755</xdr:rowOff>
    </xdr:from>
    <xdr:to>
      <xdr:col>13</xdr:col>
      <xdr:colOff>481295</xdr:colOff>
      <xdr:row>85</xdr:row>
      <xdr:rowOff>22087</xdr:rowOff>
    </xdr:to>
    <xdr:sp macro="" textlink="">
      <xdr:nvSpPr>
        <xdr:cNvPr id="5" name="ZoneTexte 4">
          <a:extLst>
            <a:ext uri="{FF2B5EF4-FFF2-40B4-BE49-F238E27FC236}">
              <a16:creationId xmlns:a16="http://schemas.microsoft.com/office/drawing/2014/main" id="{4F206633-BC69-427A-9083-C24AC2DEFE02}"/>
            </a:ext>
          </a:extLst>
        </xdr:cNvPr>
        <xdr:cNvSpPr txBox="1"/>
      </xdr:nvSpPr>
      <xdr:spPr>
        <a:xfrm>
          <a:off x="8055983" y="7553407"/>
          <a:ext cx="6980616" cy="712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t>ZONE 2 :</a:t>
          </a:r>
        </a:p>
        <a:p>
          <a:r>
            <a:rPr lang="fr-FR" sz="1600" i="1"/>
            <a:t>C'est ici qu'on regarde le </a:t>
          </a:r>
          <a:r>
            <a:rPr lang="fr-FR" sz="1600" b="1" i="1"/>
            <a:t>rôle de chaque variable</a:t>
          </a:r>
          <a:r>
            <a:rPr lang="fr-FR" sz="1600" i="1"/>
            <a:t>. Il faut regarder deux colonnes précises.</a:t>
          </a:r>
          <a:endParaRPr lang="fr-FR" sz="1600"/>
        </a:p>
        <a:p>
          <a:r>
            <a:rPr lang="fr-FR" sz="1600" b="1"/>
            <a:t>A. La Colonne "Probabilité"  (colonne 5)</a:t>
          </a:r>
        </a:p>
        <a:p>
          <a:r>
            <a:rPr lang="fr-FR" sz="1600" i="1"/>
            <a:t>C'est la </a:t>
          </a:r>
          <a:r>
            <a:rPr lang="fr-FR" sz="1600" b="1" i="1"/>
            <a:t>P-Value</a:t>
          </a:r>
          <a:r>
            <a:rPr lang="fr-FR" sz="1600" i="1"/>
            <a:t>. C'est le tri sélectif : on regarde ça en premier pour savoir ce qu'on garde</a:t>
          </a:r>
        </a:p>
        <a:p>
          <a:endParaRPr lang="fr-FR" sz="1600" i="1"/>
        </a:p>
        <a:p>
          <a:r>
            <a:rPr lang="fr-FR" sz="1600" b="1"/>
            <a:t>Années éducation : P-Value de 1,12 E-07 -&gt; </a:t>
          </a:r>
          <a:r>
            <a:rPr lang="fr-FR" sz="1600"/>
            <a:t>C'est 0,0000001. C'est inférieur à 0,05, donc c'est </a:t>
          </a:r>
          <a:r>
            <a:rPr lang="fr-FR" sz="1600" b="1"/>
            <a:t>significatif</a:t>
          </a:r>
          <a:r>
            <a:rPr lang="fr-FR" sz="1600"/>
            <a:t> ; On garde</a:t>
          </a:r>
        </a:p>
        <a:p>
          <a:endParaRPr lang="fr-FR" sz="1600"/>
        </a:p>
        <a:p>
          <a:r>
            <a:rPr lang="fr-FR" sz="1600" b="1"/>
            <a:t>PIB/tête: 0,71 </a:t>
          </a:r>
          <a:r>
            <a:rPr lang="fr-FR" sz="1600" b="0"/>
            <a:t>-&gt; </a:t>
          </a:r>
          <a:r>
            <a:rPr lang="fr-FR" sz="1600"/>
            <a:t>C'est supérieur à 0,05. Ce n'est </a:t>
          </a:r>
          <a:r>
            <a:rPr lang="fr-FR" sz="1600" b="1"/>
            <a:t>pas significatif</a:t>
          </a:r>
          <a:r>
            <a:rPr lang="fr-FR" sz="1600"/>
            <a:t>. Le hasard peut expliquer ce résultat.</a:t>
          </a:r>
        </a:p>
        <a:p>
          <a:endParaRPr lang="fr-FR" sz="1600" b="1"/>
        </a:p>
        <a:p>
          <a:r>
            <a:rPr lang="fr-FR" sz="1600" b="1"/>
            <a:t>Population : 0,60 </a:t>
          </a:r>
          <a:r>
            <a:rPr lang="fr-FR" sz="1600"/>
            <a:t>Pareil.</a:t>
          </a:r>
        </a:p>
        <a:p>
          <a:endParaRPr lang="fr-FR" sz="1600"/>
        </a:p>
        <a:p>
          <a:endParaRPr lang="fr-FR" sz="1600"/>
        </a:p>
        <a:p>
          <a:pPr marL="0" marR="0" lvl="0" indent="0" defTabSz="914400" eaLnBrk="1" fontAlgn="auto" latinLnBrk="0" hangingPunct="1">
            <a:lnSpc>
              <a:spcPct val="100000"/>
            </a:lnSpc>
            <a:spcBef>
              <a:spcPts val="0"/>
            </a:spcBef>
            <a:spcAft>
              <a:spcPts val="0"/>
            </a:spcAft>
            <a:buClrTx/>
            <a:buSzTx/>
            <a:buFontTx/>
            <a:buNone/>
            <a:tabLst/>
            <a:defRPr/>
          </a:pPr>
          <a:r>
            <a:rPr lang="fr-FR" sz="1600" b="1"/>
            <a:t>B. La colonne "Coefficients" (La 1ère)</a:t>
          </a:r>
        </a:p>
        <a:p>
          <a:r>
            <a:rPr lang="fr-FR" sz="1600" b="1"/>
            <a:t>Constante</a:t>
          </a:r>
          <a:r>
            <a:rPr lang="fr-FR" sz="1600"/>
            <a:t> (Intercept en</a:t>
          </a:r>
          <a:r>
            <a:rPr lang="fr-FR" sz="1600" baseline="0"/>
            <a:t> anglais</a:t>
          </a:r>
          <a:r>
            <a:rPr lang="fr-FR" sz="1600"/>
            <a:t>)</a:t>
          </a:r>
          <a:r>
            <a:rPr lang="fr-FR" sz="1600" baseline="0"/>
            <a:t> est de </a:t>
          </a:r>
          <a:r>
            <a:rPr lang="fr-FR" sz="1600" b="1"/>
            <a:t>43,05</a:t>
          </a:r>
          <a:r>
            <a:rPr lang="fr-FR" sz="1600" b="0"/>
            <a:t>. C'est le point</a:t>
          </a:r>
          <a:r>
            <a:rPr lang="fr-FR" sz="1600" b="0" baseline="0"/>
            <a:t> de départ de l'espérance de vie considéré par le modèle</a:t>
          </a:r>
          <a:r>
            <a:rPr lang="fr-FR" sz="1600"/>
            <a:t>. Si un pays a 0 école et 0 argent, les gens vivent théoriquement </a:t>
          </a:r>
          <a:r>
            <a:rPr lang="fr-FR" sz="1600" b="1"/>
            <a:t>43 ans</a:t>
          </a:r>
          <a:r>
            <a:rPr lang="fr-FR" sz="1600"/>
            <a:t>.</a:t>
          </a:r>
        </a:p>
        <a:p>
          <a:endParaRPr lang="fr-FR" sz="1600" b="1"/>
        </a:p>
        <a:p>
          <a:r>
            <a:rPr lang="fr-FR" sz="1600" b="1"/>
            <a:t>Années éducation : 2,16</a:t>
          </a:r>
          <a:r>
            <a:rPr lang="fr-FR" sz="1600" b="0"/>
            <a:t>. C'es l</a:t>
          </a:r>
          <a:r>
            <a:rPr lang="fr-FR" sz="1600"/>
            <a:t>a pente. </a:t>
          </a:r>
          <a:r>
            <a:rPr lang="fr-FR" sz="1600" b="1"/>
            <a:t>Chaque année d'école</a:t>
          </a:r>
          <a:r>
            <a:rPr lang="fr-FR" sz="1600"/>
            <a:t> en plus offre </a:t>
          </a:r>
          <a:r>
            <a:rPr lang="fr-FR" sz="1600" b="1"/>
            <a:t>2,16 ans</a:t>
          </a:r>
          <a:r>
            <a:rPr lang="fr-FR" sz="1600"/>
            <a:t> de vie en plus.</a:t>
          </a:r>
        </a:p>
        <a:p>
          <a:endParaRPr lang="fr-FR" sz="1600"/>
        </a:p>
        <a:p>
          <a:r>
            <a:rPr lang="fr-FR" sz="1600" b="1"/>
            <a:t>PIB/tête et Population totale</a:t>
          </a:r>
          <a:r>
            <a:rPr lang="fr-FR" sz="1600" b="1" i="1"/>
            <a:t> : </a:t>
          </a:r>
          <a:r>
            <a:rPr lang="fr-FR" sz="1600"/>
            <a:t>Même si les coefficients existent, on l'ignore car la probabilité  n'est pas</a:t>
          </a:r>
          <a:r>
            <a:rPr lang="fr-FR" sz="1600" baseline="0"/>
            <a:t> significative, le hasard peut l'expliquer.</a:t>
          </a:r>
          <a:endParaRPr lang="fr-FR" sz="16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opLeftCell="A22" zoomScaleNormal="100" workbookViewId="0">
      <selection activeCell="G22" sqref="G22"/>
    </sheetView>
  </sheetViews>
  <sheetFormatPr baseColWidth="10" defaultColWidth="11.5546875" defaultRowHeight="13.2" x14ac:dyDescent="0.25"/>
  <sheetData>
    <row r="1" spans="1:9" x14ac:dyDescent="0.25">
      <c r="A1" t="s">
        <v>0</v>
      </c>
      <c r="B1" t="s">
        <v>1</v>
      </c>
      <c r="C1" t="s">
        <v>2</v>
      </c>
      <c r="D1" t="s">
        <v>3</v>
      </c>
      <c r="E1" t="s">
        <v>4</v>
      </c>
      <c r="F1" t="s">
        <v>5</v>
      </c>
      <c r="G1" t="s">
        <v>6</v>
      </c>
      <c r="H1" t="s">
        <v>7</v>
      </c>
      <c r="I1" t="s">
        <v>8</v>
      </c>
    </row>
    <row r="2" spans="1:9" x14ac:dyDescent="0.25">
      <c r="A2" t="s">
        <v>9</v>
      </c>
      <c r="B2">
        <v>0.78500000000000003</v>
      </c>
      <c r="C2">
        <v>11886</v>
      </c>
      <c r="D2">
        <v>78.5</v>
      </c>
      <c r="E2">
        <v>14.8</v>
      </c>
      <c r="F2">
        <v>2.9</v>
      </c>
      <c r="G2">
        <v>1</v>
      </c>
      <c r="H2" t="s">
        <v>10</v>
      </c>
      <c r="I2" t="s">
        <v>11</v>
      </c>
    </row>
    <row r="3" spans="1:9" x14ac:dyDescent="0.25">
      <c r="A3" t="s">
        <v>12</v>
      </c>
      <c r="B3">
        <v>0.754</v>
      </c>
      <c r="C3">
        <v>13802</v>
      </c>
      <c r="D3">
        <v>76.3</v>
      </c>
      <c r="E3">
        <v>14.4</v>
      </c>
      <c r="F3">
        <v>41.3</v>
      </c>
      <c r="G3">
        <v>1</v>
      </c>
      <c r="H3" t="s">
        <v>13</v>
      </c>
      <c r="I3" t="s">
        <v>14</v>
      </c>
    </row>
    <row r="4" spans="1:9" x14ac:dyDescent="0.25">
      <c r="A4" t="s">
        <v>15</v>
      </c>
      <c r="B4">
        <v>0.93600000000000005</v>
      </c>
      <c r="C4">
        <v>46136</v>
      </c>
      <c r="D4">
        <v>81.2</v>
      </c>
      <c r="E4">
        <v>17</v>
      </c>
      <c r="F4">
        <v>82.1</v>
      </c>
      <c r="G4">
        <v>1.2</v>
      </c>
      <c r="H4" t="s">
        <v>16</v>
      </c>
      <c r="I4" t="s">
        <v>17</v>
      </c>
    </row>
    <row r="5" spans="1:9" x14ac:dyDescent="0.25">
      <c r="A5" t="s">
        <v>18</v>
      </c>
      <c r="B5">
        <v>0.91600000000000004</v>
      </c>
      <c r="C5">
        <v>42156</v>
      </c>
      <c r="D5">
        <v>81.3</v>
      </c>
      <c r="E5">
        <v>19.8</v>
      </c>
      <c r="F5">
        <v>11.4</v>
      </c>
      <c r="G5">
        <v>1</v>
      </c>
      <c r="H5" t="s">
        <v>19</v>
      </c>
      <c r="I5" t="s">
        <v>20</v>
      </c>
    </row>
    <row r="6" spans="1:9" x14ac:dyDescent="0.25">
      <c r="A6" t="s">
        <v>21</v>
      </c>
      <c r="B6">
        <v>0.55600000000000005</v>
      </c>
      <c r="C6">
        <v>3315</v>
      </c>
      <c r="D6">
        <v>58.6</v>
      </c>
      <c r="E6">
        <v>12.2</v>
      </c>
      <c r="F6">
        <v>24.1</v>
      </c>
      <c r="G6">
        <v>2.7</v>
      </c>
      <c r="H6" t="s">
        <v>22</v>
      </c>
      <c r="I6" t="s">
        <v>23</v>
      </c>
    </row>
    <row r="7" spans="1:9" x14ac:dyDescent="0.25">
      <c r="A7" t="s">
        <v>24</v>
      </c>
      <c r="B7">
        <v>0.60599999999999998</v>
      </c>
      <c r="C7">
        <v>5694</v>
      </c>
      <c r="D7">
        <v>65.099999999999994</v>
      </c>
      <c r="E7">
        <v>11.4</v>
      </c>
      <c r="F7">
        <v>5.3</v>
      </c>
      <c r="G7">
        <v>3.1</v>
      </c>
      <c r="H7" t="s">
        <v>25</v>
      </c>
      <c r="I7" t="s">
        <v>24</v>
      </c>
    </row>
    <row r="8" spans="1:9" x14ac:dyDescent="0.25">
      <c r="A8" t="s">
        <v>26</v>
      </c>
      <c r="B8">
        <v>0.45700000000000002</v>
      </c>
      <c r="C8">
        <v>796</v>
      </c>
      <c r="D8">
        <v>60</v>
      </c>
      <c r="E8">
        <v>9.8000000000000007</v>
      </c>
      <c r="F8">
        <v>81.3</v>
      </c>
      <c r="G8">
        <v>2.1</v>
      </c>
      <c r="H8" t="s">
        <v>27</v>
      </c>
      <c r="I8" t="s">
        <v>28</v>
      </c>
    </row>
    <row r="9" spans="1:9" x14ac:dyDescent="0.25">
      <c r="A9" t="s">
        <v>29</v>
      </c>
      <c r="B9">
        <v>0.49199999999999999</v>
      </c>
      <c r="C9">
        <v>3481</v>
      </c>
      <c r="D9">
        <v>54.1</v>
      </c>
      <c r="E9">
        <v>9</v>
      </c>
      <c r="F9">
        <v>24.3</v>
      </c>
      <c r="G9">
        <v>2</v>
      </c>
      <c r="H9" t="s">
        <v>30</v>
      </c>
      <c r="I9" t="s">
        <v>29</v>
      </c>
    </row>
    <row r="10" spans="1:9" x14ac:dyDescent="0.25">
      <c r="A10" t="s">
        <v>31</v>
      </c>
      <c r="B10">
        <v>0.83099999999999996</v>
      </c>
      <c r="C10">
        <v>22162</v>
      </c>
      <c r="D10">
        <v>77.8</v>
      </c>
      <c r="E10">
        <v>15</v>
      </c>
      <c r="F10">
        <v>4.2</v>
      </c>
      <c r="G10">
        <v>1.1000000000000001</v>
      </c>
      <c r="H10" t="s">
        <v>32</v>
      </c>
      <c r="I10" t="s">
        <v>33</v>
      </c>
    </row>
    <row r="11" spans="1:9" x14ac:dyDescent="0.25">
      <c r="A11" t="s">
        <v>34</v>
      </c>
      <c r="B11">
        <v>0.92900000000000005</v>
      </c>
      <c r="C11">
        <v>47918</v>
      </c>
      <c r="D11">
        <v>80.900000000000006</v>
      </c>
      <c r="E11">
        <v>19.100000000000001</v>
      </c>
      <c r="F11">
        <v>5.7</v>
      </c>
      <c r="G11">
        <v>1</v>
      </c>
      <c r="H11" t="s">
        <v>35</v>
      </c>
      <c r="I11" t="s">
        <v>36</v>
      </c>
    </row>
    <row r="12" spans="1:9" x14ac:dyDescent="0.25">
      <c r="A12" t="s">
        <v>37</v>
      </c>
      <c r="B12">
        <v>0.89100000000000001</v>
      </c>
      <c r="C12">
        <v>34258</v>
      </c>
      <c r="D12">
        <v>83.3</v>
      </c>
      <c r="E12">
        <v>17.899999999999999</v>
      </c>
      <c r="F12">
        <v>46.4</v>
      </c>
      <c r="G12">
        <v>1.5</v>
      </c>
      <c r="H12" t="s">
        <v>38</v>
      </c>
      <c r="I12" t="s">
        <v>39</v>
      </c>
    </row>
    <row r="13" spans="1:9" x14ac:dyDescent="0.25">
      <c r="A13" t="s">
        <v>40</v>
      </c>
      <c r="B13">
        <v>0.46300000000000002</v>
      </c>
      <c r="C13">
        <v>1719</v>
      </c>
      <c r="D13">
        <v>65.900000000000006</v>
      </c>
      <c r="E13">
        <v>8.5</v>
      </c>
      <c r="F13">
        <v>105</v>
      </c>
      <c r="G13">
        <v>1.8</v>
      </c>
      <c r="H13" t="s">
        <v>41</v>
      </c>
      <c r="I13" t="s">
        <v>42</v>
      </c>
    </row>
    <row r="14" spans="1:9" x14ac:dyDescent="0.25">
      <c r="A14" t="s">
        <v>43</v>
      </c>
      <c r="B14">
        <v>0.92</v>
      </c>
      <c r="C14">
        <v>41002</v>
      </c>
      <c r="D14">
        <v>81.5</v>
      </c>
      <c r="E14">
        <v>17.600000000000001</v>
      </c>
      <c r="F14">
        <v>5.5</v>
      </c>
      <c r="G14">
        <v>1</v>
      </c>
      <c r="H14" t="s">
        <v>44</v>
      </c>
      <c r="I14" t="s">
        <v>45</v>
      </c>
    </row>
    <row r="15" spans="1:9" x14ac:dyDescent="0.25">
      <c r="A15" t="s">
        <v>46</v>
      </c>
      <c r="B15">
        <v>0.90100000000000002</v>
      </c>
      <c r="C15">
        <v>39254</v>
      </c>
      <c r="D15">
        <v>82.7</v>
      </c>
      <c r="E15">
        <v>16.399999999999999</v>
      </c>
      <c r="F15">
        <v>65</v>
      </c>
      <c r="G15">
        <v>1.3</v>
      </c>
      <c r="H15" t="s">
        <v>47</v>
      </c>
      <c r="I15" t="s">
        <v>46</v>
      </c>
    </row>
    <row r="16" spans="1:9" x14ac:dyDescent="0.25">
      <c r="A16" t="s">
        <v>48</v>
      </c>
      <c r="B16">
        <v>0.70199999999999996</v>
      </c>
      <c r="C16">
        <v>16431</v>
      </c>
      <c r="D16">
        <v>66.5</v>
      </c>
      <c r="E16">
        <v>12.8</v>
      </c>
      <c r="F16">
        <v>2</v>
      </c>
      <c r="G16">
        <v>2.1</v>
      </c>
      <c r="H16" t="s">
        <v>49</v>
      </c>
      <c r="I16" t="s">
        <v>48</v>
      </c>
    </row>
    <row r="17" spans="1:9" x14ac:dyDescent="0.25">
      <c r="A17" t="s">
        <v>50</v>
      </c>
      <c r="B17">
        <v>0.87</v>
      </c>
      <c r="C17">
        <v>24648</v>
      </c>
      <c r="D17">
        <v>81.400000000000006</v>
      </c>
      <c r="E17">
        <v>17.3</v>
      </c>
      <c r="F17">
        <v>11.2</v>
      </c>
      <c r="G17">
        <v>1.5</v>
      </c>
      <c r="H17" t="s">
        <v>51</v>
      </c>
      <c r="I17" t="s">
        <v>52</v>
      </c>
    </row>
    <row r="18" spans="1:9" x14ac:dyDescent="0.25">
      <c r="A18" t="s">
        <v>53</v>
      </c>
      <c r="B18">
        <v>0.45900000000000002</v>
      </c>
      <c r="C18">
        <v>2067</v>
      </c>
      <c r="D18">
        <v>60.6</v>
      </c>
      <c r="E18">
        <v>9.1</v>
      </c>
      <c r="F18">
        <v>12.7</v>
      </c>
      <c r="G18">
        <v>1.3</v>
      </c>
      <c r="H18" t="s">
        <v>54</v>
      </c>
      <c r="I18" t="s">
        <v>55</v>
      </c>
    </row>
    <row r="19" spans="1:9" x14ac:dyDescent="0.25">
      <c r="A19" t="s">
        <v>56</v>
      </c>
      <c r="B19">
        <v>0.59099999999999997</v>
      </c>
      <c r="C19">
        <v>19513</v>
      </c>
      <c r="D19">
        <v>57.9</v>
      </c>
      <c r="E19">
        <v>9.3000000000000007</v>
      </c>
      <c r="F19">
        <v>1.3</v>
      </c>
      <c r="H19" t="s">
        <v>57</v>
      </c>
      <c r="I19" t="s">
        <v>58</v>
      </c>
    </row>
    <row r="20" spans="1:9" x14ac:dyDescent="0.25">
      <c r="A20" t="s">
        <v>59</v>
      </c>
      <c r="B20">
        <v>0.83799999999999997</v>
      </c>
      <c r="C20">
        <v>25393</v>
      </c>
      <c r="D20">
        <v>76.099999999999994</v>
      </c>
      <c r="E20">
        <v>15.1</v>
      </c>
      <c r="F20">
        <v>9.6999999999999993</v>
      </c>
      <c r="G20">
        <v>1.1000000000000001</v>
      </c>
      <c r="H20" t="s">
        <v>60</v>
      </c>
      <c r="I20" t="s">
        <v>61</v>
      </c>
    </row>
    <row r="21" spans="1:9" x14ac:dyDescent="0.25">
      <c r="A21" t="s">
        <v>62</v>
      </c>
      <c r="B21">
        <v>0.90300000000000002</v>
      </c>
      <c r="C21">
        <v>32711</v>
      </c>
      <c r="D21">
        <v>82.7</v>
      </c>
      <c r="E21">
        <v>15.9</v>
      </c>
      <c r="F21">
        <v>8.3000000000000007</v>
      </c>
      <c r="G21">
        <v>2</v>
      </c>
      <c r="H21" t="s">
        <v>63</v>
      </c>
      <c r="I21" t="s">
        <v>64</v>
      </c>
    </row>
    <row r="22" spans="1:9" x14ac:dyDescent="0.25">
      <c r="A22" t="s">
        <v>65</v>
      </c>
      <c r="B22">
        <v>0.88</v>
      </c>
      <c r="C22">
        <v>35299</v>
      </c>
      <c r="D22">
        <v>83.2</v>
      </c>
      <c r="E22">
        <v>16.3</v>
      </c>
      <c r="F22">
        <v>59.4</v>
      </c>
      <c r="G22">
        <v>1.4</v>
      </c>
      <c r="H22" t="s">
        <v>66</v>
      </c>
      <c r="I22" t="s">
        <v>67</v>
      </c>
    </row>
    <row r="23" spans="1:9" x14ac:dyDescent="0.25">
      <c r="A23" t="s">
        <v>68</v>
      </c>
      <c r="B23">
        <v>0.73499999999999999</v>
      </c>
      <c r="C23">
        <v>8288</v>
      </c>
      <c r="D23">
        <v>74.5</v>
      </c>
      <c r="E23">
        <v>13.1</v>
      </c>
      <c r="F23">
        <v>9.6999999999999993</v>
      </c>
      <c r="G23">
        <v>1.4</v>
      </c>
      <c r="H23" t="s">
        <v>69</v>
      </c>
      <c r="I23" t="s">
        <v>70</v>
      </c>
    </row>
    <row r="24" spans="1:9" x14ac:dyDescent="0.25">
      <c r="A24" t="s">
        <v>71</v>
      </c>
      <c r="B24">
        <v>0.75700000000000001</v>
      </c>
      <c r="C24">
        <v>13378</v>
      </c>
      <c r="D24">
        <v>79.8</v>
      </c>
      <c r="E24">
        <v>12.5</v>
      </c>
      <c r="F24">
        <v>6.1</v>
      </c>
      <c r="G24">
        <v>1.2</v>
      </c>
      <c r="H24" t="s">
        <v>72</v>
      </c>
      <c r="I24" t="s">
        <v>73</v>
      </c>
    </row>
    <row r="25" spans="1:9" x14ac:dyDescent="0.25">
      <c r="A25" t="s">
        <v>74</v>
      </c>
      <c r="B25">
        <v>0.70599999999999996</v>
      </c>
      <c r="C25">
        <v>11100</v>
      </c>
      <c r="D25">
        <v>72.099999999999994</v>
      </c>
      <c r="E25">
        <v>13.4</v>
      </c>
      <c r="F25">
        <v>6.4</v>
      </c>
      <c r="H25" t="s">
        <v>75</v>
      </c>
      <c r="I25" t="s">
        <v>76</v>
      </c>
    </row>
    <row r="26" spans="1:9" x14ac:dyDescent="0.25">
      <c r="A26" t="s">
        <v>77</v>
      </c>
      <c r="B26">
        <v>0.51900000000000002</v>
      </c>
      <c r="C26">
        <v>1358</v>
      </c>
      <c r="D26">
        <v>66.3</v>
      </c>
      <c r="E26">
        <v>10.6</v>
      </c>
      <c r="F26">
        <v>25.6</v>
      </c>
      <c r="G26">
        <v>2.1</v>
      </c>
      <c r="H26" t="s">
        <v>78</v>
      </c>
      <c r="I26" t="s">
        <v>77</v>
      </c>
    </row>
    <row r="27" spans="1:9" x14ac:dyDescent="0.25">
      <c r="A27" t="s">
        <v>79</v>
      </c>
      <c r="B27">
        <v>0.42699999999999999</v>
      </c>
      <c r="C27">
        <v>1953</v>
      </c>
      <c r="D27">
        <v>58.5</v>
      </c>
      <c r="E27">
        <v>7.7</v>
      </c>
      <c r="F27">
        <v>18.5</v>
      </c>
      <c r="G27">
        <v>1.3</v>
      </c>
      <c r="H27" t="s">
        <v>80</v>
      </c>
      <c r="I27" t="s">
        <v>79</v>
      </c>
    </row>
    <row r="28" spans="1:9" x14ac:dyDescent="0.25">
      <c r="A28" t="s">
        <v>81</v>
      </c>
      <c r="B28">
        <v>0.66700000000000004</v>
      </c>
      <c r="C28">
        <v>7340</v>
      </c>
      <c r="D28">
        <v>76.099999999999994</v>
      </c>
      <c r="E28">
        <v>12.4</v>
      </c>
      <c r="F28">
        <v>35.700000000000003</v>
      </c>
      <c r="G28">
        <v>2</v>
      </c>
      <c r="H28" t="s">
        <v>82</v>
      </c>
      <c r="I28" t="s">
        <v>83</v>
      </c>
    </row>
    <row r="29" spans="1:9" x14ac:dyDescent="0.25">
      <c r="A29" t="s">
        <v>84</v>
      </c>
      <c r="B29">
        <v>0.52</v>
      </c>
      <c r="C29">
        <v>3592</v>
      </c>
      <c r="D29">
        <v>63.4</v>
      </c>
      <c r="E29">
        <v>8.6</v>
      </c>
      <c r="F29">
        <v>4.4000000000000004</v>
      </c>
      <c r="G29">
        <v>1.3</v>
      </c>
      <c r="H29" t="s">
        <v>85</v>
      </c>
      <c r="I29" t="s">
        <v>86</v>
      </c>
    </row>
    <row r="30" spans="1:9" x14ac:dyDescent="0.25">
      <c r="A30" t="s">
        <v>87</v>
      </c>
      <c r="B30">
        <v>0.35399999999999998</v>
      </c>
      <c r="C30">
        <v>906</v>
      </c>
      <c r="D30">
        <v>60.4</v>
      </c>
      <c r="E30">
        <v>5.4</v>
      </c>
      <c r="F30">
        <v>21.5</v>
      </c>
      <c r="G30">
        <v>1.4</v>
      </c>
      <c r="H30" t="s">
        <v>88</v>
      </c>
      <c r="I30" t="s">
        <v>87</v>
      </c>
    </row>
    <row r="31" spans="1:9" x14ac:dyDescent="0.25">
      <c r="A31" t="s">
        <v>89</v>
      </c>
      <c r="B31">
        <v>0.95299999999999996</v>
      </c>
      <c r="C31">
        <v>68012</v>
      </c>
      <c r="D31">
        <v>82.3</v>
      </c>
      <c r="E31">
        <v>17.899999999999999</v>
      </c>
      <c r="F31">
        <v>5.3</v>
      </c>
      <c r="G31">
        <v>1</v>
      </c>
      <c r="H31" t="s">
        <v>90</v>
      </c>
      <c r="I31" t="s">
        <v>91</v>
      </c>
    </row>
    <row r="32" spans="1:9" x14ac:dyDescent="0.25">
      <c r="A32" t="s">
        <v>92</v>
      </c>
      <c r="B32">
        <v>0.93100000000000005</v>
      </c>
      <c r="C32">
        <v>47900</v>
      </c>
      <c r="D32">
        <v>82</v>
      </c>
      <c r="E32">
        <v>18</v>
      </c>
      <c r="F32">
        <v>17</v>
      </c>
      <c r="G32">
        <v>1.1000000000000001</v>
      </c>
      <c r="H32" t="s">
        <v>93</v>
      </c>
      <c r="I32" t="s">
        <v>94</v>
      </c>
    </row>
    <row r="33" spans="1:9" x14ac:dyDescent="0.25">
      <c r="A33" t="s">
        <v>95</v>
      </c>
      <c r="B33">
        <v>0.84699999999999998</v>
      </c>
      <c r="C33">
        <v>27315</v>
      </c>
      <c r="D33">
        <v>81.400000000000006</v>
      </c>
      <c r="E33">
        <v>16.3</v>
      </c>
      <c r="F33">
        <v>10.3</v>
      </c>
      <c r="G33">
        <v>1.5</v>
      </c>
      <c r="H33" t="s">
        <v>96</v>
      </c>
      <c r="I33" t="s">
        <v>95</v>
      </c>
    </row>
    <row r="34" spans="1:9" x14ac:dyDescent="0.25">
      <c r="A34" t="s">
        <v>97</v>
      </c>
      <c r="B34">
        <v>0.53600000000000003</v>
      </c>
      <c r="C34">
        <v>2337</v>
      </c>
      <c r="D34">
        <v>71</v>
      </c>
      <c r="E34">
        <v>8.8000000000000007</v>
      </c>
      <c r="F34">
        <v>18.3</v>
      </c>
      <c r="H34" t="s">
        <v>98</v>
      </c>
      <c r="I34" t="s">
        <v>99</v>
      </c>
    </row>
    <row r="35" spans="1:9" x14ac:dyDescent="0.25">
      <c r="A35" t="s">
        <v>100</v>
      </c>
      <c r="B35">
        <v>0.92200000000000004</v>
      </c>
      <c r="C35">
        <v>39116</v>
      </c>
      <c r="D35">
        <v>81.7</v>
      </c>
      <c r="E35">
        <v>17.399999999999999</v>
      </c>
      <c r="F35">
        <v>66.2</v>
      </c>
      <c r="G35">
        <v>1.3</v>
      </c>
      <c r="H35" t="s">
        <v>101</v>
      </c>
      <c r="I35" t="s">
        <v>102</v>
      </c>
    </row>
    <row r="36" spans="1:9" x14ac:dyDescent="0.25">
      <c r="A36" t="s">
        <v>103</v>
      </c>
      <c r="B36">
        <v>0.505</v>
      </c>
      <c r="C36">
        <v>2384</v>
      </c>
      <c r="D36">
        <v>67.5</v>
      </c>
      <c r="E36">
        <v>9.6999999999999993</v>
      </c>
      <c r="F36">
        <v>15.9</v>
      </c>
      <c r="G36">
        <v>1.9</v>
      </c>
      <c r="H36" t="s">
        <v>104</v>
      </c>
      <c r="I36" t="s">
        <v>105</v>
      </c>
    </row>
    <row r="37" spans="1:9" x14ac:dyDescent="0.25">
      <c r="A37" t="s">
        <v>106</v>
      </c>
      <c r="B37">
        <v>0.78700000000000003</v>
      </c>
      <c r="C37">
        <v>13019</v>
      </c>
      <c r="D37">
        <v>75.3</v>
      </c>
      <c r="E37">
        <v>14.6</v>
      </c>
      <c r="F37">
        <v>8.8000000000000007</v>
      </c>
      <c r="G37">
        <v>1</v>
      </c>
      <c r="H37" t="s">
        <v>107</v>
      </c>
      <c r="I37" t="s">
        <v>108</v>
      </c>
    </row>
    <row r="38" spans="1:9" x14ac:dyDescent="0.25">
      <c r="A38" t="s">
        <v>109</v>
      </c>
      <c r="B38">
        <v>0.85499999999999998</v>
      </c>
      <c r="C38">
        <v>29467</v>
      </c>
      <c r="D38">
        <v>77</v>
      </c>
      <c r="E38">
        <v>15</v>
      </c>
      <c r="F38">
        <v>5.4</v>
      </c>
      <c r="G38">
        <v>0.9</v>
      </c>
      <c r="H38" t="s">
        <v>110</v>
      </c>
      <c r="I38" t="s">
        <v>111</v>
      </c>
    </row>
    <row r="39" spans="1:9" x14ac:dyDescent="0.25">
      <c r="A39" t="s">
        <v>112</v>
      </c>
      <c r="B39">
        <v>0.89600000000000002</v>
      </c>
      <c r="C39">
        <v>30594</v>
      </c>
      <c r="D39">
        <v>81.099999999999994</v>
      </c>
      <c r="E39">
        <v>17.2</v>
      </c>
      <c r="F39">
        <v>2.1</v>
      </c>
      <c r="G39">
        <v>0.9</v>
      </c>
      <c r="H39" t="s">
        <v>113</v>
      </c>
      <c r="I39" t="s">
        <v>114</v>
      </c>
    </row>
    <row r="40" spans="1:9" x14ac:dyDescent="0.25">
      <c r="A40" t="s">
        <v>115</v>
      </c>
      <c r="B40">
        <v>0.93300000000000005</v>
      </c>
      <c r="C40">
        <v>47766</v>
      </c>
      <c r="D40">
        <v>82.6</v>
      </c>
      <c r="E40">
        <v>17.600000000000001</v>
      </c>
      <c r="F40">
        <v>9.9</v>
      </c>
      <c r="G40">
        <v>1</v>
      </c>
      <c r="H40" t="s">
        <v>116</v>
      </c>
      <c r="I40" t="s">
        <v>117</v>
      </c>
    </row>
    <row r="41" spans="1:9" x14ac:dyDescent="0.25">
      <c r="A41" t="s">
        <v>118</v>
      </c>
      <c r="B41">
        <v>0.94399999999999995</v>
      </c>
      <c r="C41">
        <v>57625</v>
      </c>
      <c r="D41">
        <v>83.5</v>
      </c>
      <c r="E41">
        <v>16.2</v>
      </c>
      <c r="F41">
        <v>8.5</v>
      </c>
      <c r="G41">
        <v>1.3</v>
      </c>
      <c r="H41" t="s">
        <v>119</v>
      </c>
      <c r="I41" t="s">
        <v>120</v>
      </c>
    </row>
    <row r="42" spans="1:9" x14ac:dyDescent="0.25">
      <c r="A42" t="s">
        <v>121</v>
      </c>
      <c r="B42">
        <v>0.40400000000000003</v>
      </c>
      <c r="C42">
        <v>1750</v>
      </c>
      <c r="D42">
        <v>53.2</v>
      </c>
      <c r="E42">
        <v>8</v>
      </c>
      <c r="F42">
        <v>14.9</v>
      </c>
      <c r="G42">
        <v>2.2000000000000002</v>
      </c>
      <c r="H42" t="s">
        <v>122</v>
      </c>
      <c r="I42" t="s">
        <v>123</v>
      </c>
    </row>
    <row r="43" spans="1:9" x14ac:dyDescent="0.25">
      <c r="A43" t="s">
        <v>124</v>
      </c>
      <c r="B43">
        <v>0.68600000000000005</v>
      </c>
      <c r="C43">
        <v>5055</v>
      </c>
      <c r="D43">
        <v>73.599999999999994</v>
      </c>
      <c r="E43">
        <v>12.8</v>
      </c>
      <c r="F43">
        <v>4.9000000000000004</v>
      </c>
      <c r="G43">
        <v>1.4</v>
      </c>
      <c r="H43" t="s">
        <v>125</v>
      </c>
      <c r="I43" t="s">
        <v>126</v>
      </c>
    </row>
    <row r="44" spans="1:9" x14ac:dyDescent="0.25">
      <c r="A44" t="s">
        <v>127</v>
      </c>
      <c r="B44">
        <v>0.73499999999999999</v>
      </c>
      <c r="C44">
        <v>10275</v>
      </c>
      <c r="D44">
        <v>75.900000000000006</v>
      </c>
      <c r="E44">
        <v>15.1</v>
      </c>
      <c r="F44">
        <v>11.5</v>
      </c>
      <c r="G44">
        <v>1.5</v>
      </c>
      <c r="H44" t="s">
        <v>128</v>
      </c>
      <c r="I44" t="s">
        <v>129</v>
      </c>
    </row>
    <row r="45" spans="1:9" x14ac:dyDescent="0.25">
      <c r="A45" t="s">
        <v>130</v>
      </c>
      <c r="B45">
        <v>0.79100000000000004</v>
      </c>
      <c r="C45">
        <v>24804</v>
      </c>
      <c r="D45">
        <v>76</v>
      </c>
      <c r="E45">
        <v>15.2</v>
      </c>
      <c r="F45">
        <v>80.7</v>
      </c>
      <c r="G45">
        <v>2.1</v>
      </c>
      <c r="H45" t="s">
        <v>131</v>
      </c>
      <c r="I45" t="s">
        <v>132</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C924-DEE5-431D-A0EB-1584D478F390}">
  <dimension ref="A1"/>
  <sheetViews>
    <sheetView topLeftCell="A5" workbookViewId="0">
      <selection activeCell="F36" sqref="F36"/>
    </sheetView>
  </sheetViews>
  <sheetFormatPr baseColWidth="10" defaultRowHeight="13.2"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2321-EFD8-42F3-82D3-2C00300853D2}">
  <dimension ref="A1:G4"/>
  <sheetViews>
    <sheetView workbookViewId="0">
      <selection activeCell="D2" sqref="D2"/>
    </sheetView>
  </sheetViews>
  <sheetFormatPr baseColWidth="10" defaultRowHeight="13.2" x14ac:dyDescent="0.25"/>
  <cols>
    <col min="2" max="2" width="11.5546875" bestFit="1" customWidth="1"/>
    <col min="3" max="3" width="17.6640625" bestFit="1" customWidth="1"/>
    <col min="4" max="7" width="11.5546875" bestFit="1" customWidth="1"/>
    <col min="8" max="8" width="13.109375" bestFit="1" customWidth="1"/>
  </cols>
  <sheetData>
    <row r="1" spans="1:7" x14ac:dyDescent="0.25">
      <c r="A1" s="3" t="s">
        <v>0</v>
      </c>
      <c r="B1" s="3" t="s">
        <v>1</v>
      </c>
      <c r="C1" s="3" t="s">
        <v>2</v>
      </c>
      <c r="D1" s="3" t="s">
        <v>3</v>
      </c>
      <c r="E1" s="3" t="s">
        <v>4</v>
      </c>
      <c r="F1" s="3" t="s">
        <v>5</v>
      </c>
      <c r="G1" s="3" t="s">
        <v>6</v>
      </c>
    </row>
    <row r="2" spans="1:7" x14ac:dyDescent="0.25">
      <c r="A2" t="s">
        <v>133</v>
      </c>
      <c r="B2" s="2">
        <f>AVERAGE(Dataset!B2:B45)</f>
        <v>0.72931818181818175</v>
      </c>
      <c r="C2" s="1">
        <f>AVERAGE(Dataset!C2:C45)</f>
        <v>21022.159090909092</v>
      </c>
      <c r="D2" s="2">
        <f>AVERAGE(Dataset!D2:D45)</f>
        <v>73.427272727272722</v>
      </c>
      <c r="E2" s="2">
        <f>AVERAGE(Dataset!E2:E45)</f>
        <v>13.686363636363639</v>
      </c>
      <c r="F2" s="2">
        <f>AVERAGE(Dataset!F2:F45)</f>
        <v>23.106818181818177</v>
      </c>
      <c r="G2" s="2">
        <f>AVERAGE(Dataset!G2:G45)</f>
        <v>1.4878048780487803</v>
      </c>
    </row>
    <row r="3" spans="1:7" x14ac:dyDescent="0.25">
      <c r="A3" t="s">
        <v>134</v>
      </c>
      <c r="B3" s="2">
        <f>_xlfn.VAR.S(Dataset!B2:B45)</f>
        <v>3.3685384778012598E-2</v>
      </c>
      <c r="C3" s="2">
        <f>_xlfn.VAR.S(Dataset!C2:C45)</f>
        <v>331042329.20665962</v>
      </c>
      <c r="D3" s="2">
        <f>_xlfn.VAR.S(Dataset!D2:D45)</f>
        <v>85.765285412262486</v>
      </c>
      <c r="E3" s="2">
        <f>_xlfn.VAR.S(Dataset!E2:E45)</f>
        <v>13.370042283298041</v>
      </c>
      <c r="F3" s="2">
        <f>_xlfn.VAR.S(Dataset!F2:F45)</f>
        <v>694.40158033826663</v>
      </c>
      <c r="G3" s="2">
        <f>_xlfn.VAR.S(Dataset!G2:G45)</f>
        <v>0.26459756097560999</v>
      </c>
    </row>
    <row r="4" spans="1:7" x14ac:dyDescent="0.25">
      <c r="A4" t="s">
        <v>135</v>
      </c>
      <c r="B4" s="2">
        <f>_xlfn.STDEV.S(Dataset!B2:B45)</f>
        <v>0.18353578609637031</v>
      </c>
      <c r="C4" s="2">
        <f>_xlfn.STDEV.S(Dataset!C2:C45)</f>
        <v>18194.568673278838</v>
      </c>
      <c r="D4" s="2">
        <f>_xlfn.STDEV.S(Dataset!D2:D45)</f>
        <v>9.260954886633586</v>
      </c>
      <c r="E4" s="2">
        <f>_xlfn.STDEV.S(Dataset!E2:E45)</f>
        <v>3.6565068416862072</v>
      </c>
      <c r="F4" s="2">
        <f>_xlfn.STDEV.S(Dataset!F2:F45)</f>
        <v>26.351500532953843</v>
      </c>
      <c r="G4" s="2">
        <f>_xlfn.STDEV.S(Dataset!G2:G45)</f>
        <v>0.5143904751991526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1DAF-5BF5-4A9E-AF1B-57B192C84C4A}">
  <dimension ref="A1:G8"/>
  <sheetViews>
    <sheetView zoomScale="178" workbookViewId="0">
      <selection activeCell="B10" sqref="B10"/>
    </sheetView>
  </sheetViews>
  <sheetFormatPr baseColWidth="10" defaultRowHeight="13.2" x14ac:dyDescent="0.25"/>
  <sheetData>
    <row r="1" spans="1:7" x14ac:dyDescent="0.25">
      <c r="A1" s="3" t="s">
        <v>0</v>
      </c>
      <c r="B1" s="3" t="s">
        <v>1</v>
      </c>
      <c r="C1" s="3" t="s">
        <v>2</v>
      </c>
      <c r="D1" s="3" t="s">
        <v>3</v>
      </c>
      <c r="E1" s="3" t="s">
        <v>4</v>
      </c>
      <c r="F1" s="3" t="s">
        <v>5</v>
      </c>
      <c r="G1" s="3" t="s">
        <v>6</v>
      </c>
    </row>
    <row r="2" spans="1:7" x14ac:dyDescent="0.25">
      <c r="A2" t="s">
        <v>136</v>
      </c>
      <c r="B2">
        <f>MEDIAN(Dataset!B2:B45)</f>
        <v>0.77100000000000002</v>
      </c>
      <c r="C2">
        <f>MEDIAN(Dataset!C2:C45)</f>
        <v>15116.5</v>
      </c>
      <c r="D2">
        <f>MEDIAN(Dataset!D2:D45)</f>
        <v>76.099999999999994</v>
      </c>
      <c r="E2">
        <f>MEDIAN(Dataset!E2:E45)</f>
        <v>14.7</v>
      </c>
      <c r="F2">
        <f>MEDIAN(Dataset!F2:F45)</f>
        <v>11.3</v>
      </c>
      <c r="G2">
        <f>MEDIAN(Dataset!G2:G45)</f>
        <v>1.3</v>
      </c>
    </row>
    <row r="3" spans="1:7" x14ac:dyDescent="0.25">
      <c r="A3" s="22" t="s">
        <v>140</v>
      </c>
      <c r="B3" s="22"/>
      <c r="C3" s="22"/>
      <c r="D3" s="22"/>
      <c r="E3" s="22"/>
      <c r="F3" s="22"/>
      <c r="G3" s="22"/>
    </row>
    <row r="4" spans="1:7" x14ac:dyDescent="0.25">
      <c r="A4" s="4" t="s">
        <v>142</v>
      </c>
      <c r="B4" s="5">
        <f>PERCENTILE(Dataset!B2:B45,0.1)</f>
        <v>0.4602</v>
      </c>
      <c r="C4" s="5">
        <f>PERCENTILE(Dataset!C2:C45,0.1)</f>
        <v>1810.8999999999999</v>
      </c>
      <c r="D4" s="5">
        <f>PERCENTILE(Dataset!D2:D45,0.1)</f>
        <v>59.02</v>
      </c>
      <c r="E4" s="5">
        <f>PERCENTILE(Dataset!E2:E45,0.1)</f>
        <v>8.66</v>
      </c>
      <c r="F4" s="5">
        <f>PERCENTILE(Dataset!F2:F45,0.1)</f>
        <v>4.26</v>
      </c>
      <c r="G4" s="5">
        <f>PERCENTILE(Dataset!G2:G45,0.1)</f>
        <v>1</v>
      </c>
    </row>
    <row r="5" spans="1:7" x14ac:dyDescent="0.25">
      <c r="A5" t="s">
        <v>137</v>
      </c>
      <c r="B5" s="2">
        <f>_xlfn.QUARTILE.EXC(Dataset!B$2:B$45,1)</f>
        <v>0.54100000000000004</v>
      </c>
      <c r="C5" s="2">
        <f>_xlfn.QUARTILE.EXC(Dataset!C$2:C$45,1)</f>
        <v>3508.75</v>
      </c>
      <c r="D5" s="2">
        <f>_xlfn.QUARTILE.EXC(Dataset!D$2:D$45,1)</f>
        <v>66</v>
      </c>
      <c r="E5" s="2">
        <f>_xlfn.QUARTILE.EXC(Dataset!E$2:E$45,1)</f>
        <v>10</v>
      </c>
      <c r="F5" s="2">
        <f>_xlfn.QUARTILE.EXC(Dataset!F$2:F$45,1)</f>
        <v>5.55</v>
      </c>
      <c r="G5" s="2">
        <f>_xlfn.QUARTILE.EXC(Dataset!G$2:G$45,1)</f>
        <v>1.05</v>
      </c>
    </row>
    <row r="6" spans="1:7" x14ac:dyDescent="0.25">
      <c r="A6" t="s">
        <v>138</v>
      </c>
      <c r="B6" s="2">
        <f>_xlfn.QUARTILE.EXC(Dataset!B$2:B$45,2)</f>
        <v>0.77100000000000002</v>
      </c>
      <c r="C6" s="2">
        <f>_xlfn.QUARTILE.EXC(Dataset!C$2:C$45,2)</f>
        <v>15116.5</v>
      </c>
      <c r="D6" s="2">
        <f>_xlfn.QUARTILE.EXC(Dataset!D$2:D$45,2)</f>
        <v>76.099999999999994</v>
      </c>
      <c r="E6" s="2">
        <f>_xlfn.QUARTILE.EXC(Dataset!E$2:E$45,2)</f>
        <v>14.7</v>
      </c>
      <c r="F6" s="2">
        <f>_xlfn.QUARTILE.EXC(Dataset!F$2:F$45,2)</f>
        <v>11.3</v>
      </c>
      <c r="G6" s="2">
        <f>_xlfn.QUARTILE.EXC(Dataset!G$2:G$45,2)</f>
        <v>1.3</v>
      </c>
    </row>
    <row r="7" spans="1:7" x14ac:dyDescent="0.25">
      <c r="A7" t="s">
        <v>139</v>
      </c>
      <c r="B7" s="2">
        <f>_xlfn.QUARTILE.EXC(Dataset!B$2:B$45,3)</f>
        <v>0.89975000000000005</v>
      </c>
      <c r="C7" s="2">
        <f>_xlfn.QUARTILE.EXC(Dataset!C$2:C$45,3)</f>
        <v>35038.75</v>
      </c>
      <c r="D7" s="2">
        <f>_xlfn.QUARTILE.EXC(Dataset!D$2:D$45,3)</f>
        <v>81.400000000000006</v>
      </c>
      <c r="E7" s="2">
        <f>_xlfn.QUARTILE.EXC(Dataset!E$2:E$45,3)</f>
        <v>16.850000000000001</v>
      </c>
      <c r="F7" s="2">
        <f>_xlfn.QUARTILE.EXC(Dataset!F$2:F$45,3)</f>
        <v>25.275000000000002</v>
      </c>
      <c r="G7" s="2">
        <f>_xlfn.QUARTILE.EXC(Dataset!G$2:G$45,3)</f>
        <v>1.95</v>
      </c>
    </row>
    <row r="8" spans="1:7" x14ac:dyDescent="0.25">
      <c r="A8" t="s">
        <v>141</v>
      </c>
      <c r="B8" s="5">
        <f>PERCENTILE(Dataset!B1:B45,0.9)</f>
        <v>0.9304</v>
      </c>
      <c r="C8" s="5">
        <f>PERCENTILE(Dataset!C6:C49,0.1)</f>
        <v>1746.9</v>
      </c>
      <c r="D8" s="5">
        <f>PERCENTILE(Dataset!D1:D45,0.9)</f>
        <v>82.67</v>
      </c>
      <c r="E8" s="5">
        <f>PERCENTILE(Dataset!E6:E49,0.1)</f>
        <v>8.59</v>
      </c>
      <c r="F8" s="5">
        <f>PERCENTILE(Dataset!F1:F45,0.9)</f>
        <v>65.84</v>
      </c>
      <c r="G8" s="5">
        <f>PERCENTILE(Dataset!G6:G49,0.1)</f>
        <v>1</v>
      </c>
    </row>
  </sheetData>
  <mergeCells count="1">
    <mergeCell ref="A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96BF-D9B1-43E2-BC01-2BE1AEC5E654}">
  <dimension ref="A1:B45"/>
  <sheetViews>
    <sheetView zoomScale="94" workbookViewId="0">
      <selection activeCell="M19" sqref="M19"/>
    </sheetView>
  </sheetViews>
  <sheetFormatPr baseColWidth="10" defaultRowHeight="13.2" x14ac:dyDescent="0.25"/>
  <sheetData>
    <row r="1" spans="1:2" x14ac:dyDescent="0.25">
      <c r="A1" t="s">
        <v>0</v>
      </c>
      <c r="B1" t="s">
        <v>3</v>
      </c>
    </row>
    <row r="2" spans="1:2" x14ac:dyDescent="0.25">
      <c r="A2" t="s">
        <v>9</v>
      </c>
      <c r="B2">
        <v>78.5</v>
      </c>
    </row>
    <row r="3" spans="1:2" x14ac:dyDescent="0.25">
      <c r="A3" t="s">
        <v>12</v>
      </c>
      <c r="B3">
        <v>76.3</v>
      </c>
    </row>
    <row r="4" spans="1:2" x14ac:dyDescent="0.25">
      <c r="A4" t="s">
        <v>15</v>
      </c>
      <c r="B4">
        <v>81.2</v>
      </c>
    </row>
    <row r="5" spans="1:2" x14ac:dyDescent="0.25">
      <c r="A5" t="s">
        <v>18</v>
      </c>
      <c r="B5">
        <v>81.3</v>
      </c>
    </row>
    <row r="6" spans="1:2" x14ac:dyDescent="0.25">
      <c r="A6" t="s">
        <v>21</v>
      </c>
      <c r="B6">
        <v>58.6</v>
      </c>
    </row>
    <row r="7" spans="1:2" x14ac:dyDescent="0.25">
      <c r="A7" t="s">
        <v>24</v>
      </c>
      <c r="B7">
        <v>65.099999999999994</v>
      </c>
    </row>
    <row r="8" spans="1:2" x14ac:dyDescent="0.25">
      <c r="A8" t="s">
        <v>26</v>
      </c>
      <c r="B8">
        <v>60</v>
      </c>
    </row>
    <row r="9" spans="1:2" x14ac:dyDescent="0.25">
      <c r="A9" t="s">
        <v>29</v>
      </c>
      <c r="B9">
        <v>54.1</v>
      </c>
    </row>
    <row r="10" spans="1:2" x14ac:dyDescent="0.25">
      <c r="A10" t="s">
        <v>31</v>
      </c>
      <c r="B10">
        <v>77.8</v>
      </c>
    </row>
    <row r="11" spans="1:2" x14ac:dyDescent="0.25">
      <c r="A11" t="s">
        <v>34</v>
      </c>
      <c r="B11">
        <v>80.900000000000006</v>
      </c>
    </row>
    <row r="12" spans="1:2" x14ac:dyDescent="0.25">
      <c r="A12" t="s">
        <v>37</v>
      </c>
      <c r="B12">
        <v>83.3</v>
      </c>
    </row>
    <row r="13" spans="1:2" x14ac:dyDescent="0.25">
      <c r="A13" t="s">
        <v>40</v>
      </c>
      <c r="B13">
        <v>65.900000000000006</v>
      </c>
    </row>
    <row r="14" spans="1:2" x14ac:dyDescent="0.25">
      <c r="A14" t="s">
        <v>43</v>
      </c>
      <c r="B14">
        <v>81.5</v>
      </c>
    </row>
    <row r="15" spans="1:2" x14ac:dyDescent="0.25">
      <c r="A15" t="s">
        <v>46</v>
      </c>
      <c r="B15">
        <v>82.7</v>
      </c>
    </row>
    <row r="16" spans="1:2" x14ac:dyDescent="0.25">
      <c r="A16" t="s">
        <v>48</v>
      </c>
      <c r="B16">
        <v>66.5</v>
      </c>
    </row>
    <row r="17" spans="1:2" x14ac:dyDescent="0.25">
      <c r="A17" t="s">
        <v>50</v>
      </c>
      <c r="B17">
        <v>81.400000000000006</v>
      </c>
    </row>
    <row r="18" spans="1:2" x14ac:dyDescent="0.25">
      <c r="A18" t="s">
        <v>53</v>
      </c>
      <c r="B18">
        <v>60.6</v>
      </c>
    </row>
    <row r="19" spans="1:2" x14ac:dyDescent="0.25">
      <c r="A19" t="s">
        <v>56</v>
      </c>
      <c r="B19">
        <v>57.9</v>
      </c>
    </row>
    <row r="20" spans="1:2" x14ac:dyDescent="0.25">
      <c r="A20" t="s">
        <v>59</v>
      </c>
      <c r="B20">
        <v>76.099999999999994</v>
      </c>
    </row>
    <row r="21" spans="1:2" x14ac:dyDescent="0.25">
      <c r="A21" t="s">
        <v>62</v>
      </c>
      <c r="B21">
        <v>82.7</v>
      </c>
    </row>
    <row r="22" spans="1:2" x14ac:dyDescent="0.25">
      <c r="A22" t="s">
        <v>65</v>
      </c>
      <c r="B22">
        <v>83.2</v>
      </c>
    </row>
    <row r="23" spans="1:2" x14ac:dyDescent="0.25">
      <c r="A23" t="s">
        <v>68</v>
      </c>
      <c r="B23">
        <v>74.5</v>
      </c>
    </row>
    <row r="24" spans="1:2" x14ac:dyDescent="0.25">
      <c r="A24" t="s">
        <v>71</v>
      </c>
      <c r="B24">
        <v>79.8</v>
      </c>
    </row>
    <row r="25" spans="1:2" x14ac:dyDescent="0.25">
      <c r="A25" t="s">
        <v>74</v>
      </c>
      <c r="B25">
        <v>72.099999999999994</v>
      </c>
    </row>
    <row r="26" spans="1:2" x14ac:dyDescent="0.25">
      <c r="A26" t="s">
        <v>77</v>
      </c>
      <c r="B26">
        <v>66.3</v>
      </c>
    </row>
    <row r="27" spans="1:2" x14ac:dyDescent="0.25">
      <c r="A27" t="s">
        <v>79</v>
      </c>
      <c r="B27">
        <v>58.5</v>
      </c>
    </row>
    <row r="28" spans="1:2" x14ac:dyDescent="0.25">
      <c r="A28" t="s">
        <v>81</v>
      </c>
      <c r="B28">
        <v>76.099999999999994</v>
      </c>
    </row>
    <row r="29" spans="1:2" x14ac:dyDescent="0.25">
      <c r="A29" t="s">
        <v>84</v>
      </c>
      <c r="B29">
        <v>63.4</v>
      </c>
    </row>
    <row r="30" spans="1:2" x14ac:dyDescent="0.25">
      <c r="A30" t="s">
        <v>87</v>
      </c>
      <c r="B30">
        <v>60.4</v>
      </c>
    </row>
    <row r="31" spans="1:2" x14ac:dyDescent="0.25">
      <c r="A31" t="s">
        <v>89</v>
      </c>
      <c r="B31">
        <v>82.3</v>
      </c>
    </row>
    <row r="32" spans="1:2" x14ac:dyDescent="0.25">
      <c r="A32" t="s">
        <v>92</v>
      </c>
      <c r="B32">
        <v>82</v>
      </c>
    </row>
    <row r="33" spans="1:2" x14ac:dyDescent="0.25">
      <c r="A33" t="s">
        <v>95</v>
      </c>
      <c r="B33">
        <v>81.400000000000006</v>
      </c>
    </row>
    <row r="34" spans="1:2" x14ac:dyDescent="0.25">
      <c r="A34" t="s">
        <v>97</v>
      </c>
      <c r="B34">
        <v>71</v>
      </c>
    </row>
    <row r="35" spans="1:2" x14ac:dyDescent="0.25">
      <c r="A35" t="s">
        <v>100</v>
      </c>
      <c r="B35">
        <v>81.7</v>
      </c>
    </row>
    <row r="36" spans="1:2" x14ac:dyDescent="0.25">
      <c r="A36" t="s">
        <v>103</v>
      </c>
      <c r="B36">
        <v>67.5</v>
      </c>
    </row>
    <row r="37" spans="1:2" x14ac:dyDescent="0.25">
      <c r="A37" t="s">
        <v>106</v>
      </c>
      <c r="B37">
        <v>75.3</v>
      </c>
    </row>
    <row r="38" spans="1:2" x14ac:dyDescent="0.25">
      <c r="A38" t="s">
        <v>109</v>
      </c>
      <c r="B38">
        <v>77</v>
      </c>
    </row>
    <row r="39" spans="1:2" x14ac:dyDescent="0.25">
      <c r="A39" t="s">
        <v>112</v>
      </c>
      <c r="B39">
        <v>81.099999999999994</v>
      </c>
    </row>
    <row r="40" spans="1:2" x14ac:dyDescent="0.25">
      <c r="A40" t="s">
        <v>115</v>
      </c>
      <c r="B40">
        <v>82.6</v>
      </c>
    </row>
    <row r="41" spans="1:2" x14ac:dyDescent="0.25">
      <c r="A41" t="s">
        <v>118</v>
      </c>
      <c r="B41">
        <v>83.5</v>
      </c>
    </row>
    <row r="42" spans="1:2" x14ac:dyDescent="0.25">
      <c r="A42" t="s">
        <v>121</v>
      </c>
      <c r="B42">
        <v>53.2</v>
      </c>
    </row>
    <row r="43" spans="1:2" x14ac:dyDescent="0.25">
      <c r="A43" t="s">
        <v>124</v>
      </c>
      <c r="B43">
        <v>73.599999999999994</v>
      </c>
    </row>
    <row r="44" spans="1:2" x14ac:dyDescent="0.25">
      <c r="A44" t="s">
        <v>127</v>
      </c>
      <c r="B44">
        <v>75.900000000000006</v>
      </c>
    </row>
    <row r="45" spans="1:2" x14ac:dyDescent="0.25">
      <c r="A45" t="s">
        <v>130</v>
      </c>
      <c r="B45">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65E72-CEF2-4509-BD7E-381F1B978EFA}">
  <dimension ref="A1:B50"/>
  <sheetViews>
    <sheetView topLeftCell="A35" zoomScale="140" zoomScaleNormal="85" workbookViewId="0">
      <selection activeCell="C48" sqref="C48"/>
    </sheetView>
  </sheetViews>
  <sheetFormatPr baseColWidth="10" defaultRowHeight="13.2" x14ac:dyDescent="0.25"/>
  <cols>
    <col min="2" max="2" width="19.88671875" bestFit="1" customWidth="1"/>
    <col min="3" max="3" width="18.88671875" bestFit="1" customWidth="1"/>
  </cols>
  <sheetData>
    <row r="1" spans="1:2" x14ac:dyDescent="0.25">
      <c r="A1" t="s">
        <v>0</v>
      </c>
      <c r="B1" t="s">
        <v>3</v>
      </c>
    </row>
    <row r="2" spans="1:2" x14ac:dyDescent="0.25">
      <c r="A2" t="s">
        <v>121</v>
      </c>
      <c r="B2">
        <v>53.2</v>
      </c>
    </row>
    <row r="3" spans="1:2" x14ac:dyDescent="0.25">
      <c r="A3" t="s">
        <v>29</v>
      </c>
      <c r="B3">
        <v>54.1</v>
      </c>
    </row>
    <row r="4" spans="1:2" x14ac:dyDescent="0.25">
      <c r="A4" t="s">
        <v>56</v>
      </c>
      <c r="B4">
        <v>57.9</v>
      </c>
    </row>
    <row r="5" spans="1:2" x14ac:dyDescent="0.25">
      <c r="A5" t="s">
        <v>79</v>
      </c>
      <c r="B5">
        <v>58.5</v>
      </c>
    </row>
    <row r="6" spans="1:2" x14ac:dyDescent="0.25">
      <c r="A6" t="s">
        <v>21</v>
      </c>
      <c r="B6">
        <v>58.6</v>
      </c>
    </row>
    <row r="7" spans="1:2" x14ac:dyDescent="0.25">
      <c r="A7" s="15" t="s">
        <v>177</v>
      </c>
      <c r="B7" s="16">
        <v>59.02</v>
      </c>
    </row>
    <row r="8" spans="1:2" x14ac:dyDescent="0.25">
      <c r="A8" t="s">
        <v>26</v>
      </c>
      <c r="B8">
        <v>60</v>
      </c>
    </row>
    <row r="9" spans="1:2" x14ac:dyDescent="0.25">
      <c r="A9" t="s">
        <v>87</v>
      </c>
      <c r="B9">
        <v>60.4</v>
      </c>
    </row>
    <row r="10" spans="1:2" x14ac:dyDescent="0.25">
      <c r="A10" t="s">
        <v>53</v>
      </c>
      <c r="B10">
        <v>60.6</v>
      </c>
    </row>
    <row r="11" spans="1:2" x14ac:dyDescent="0.25">
      <c r="A11" t="s">
        <v>84</v>
      </c>
      <c r="B11">
        <v>63.4</v>
      </c>
    </row>
    <row r="12" spans="1:2" x14ac:dyDescent="0.25">
      <c r="A12" t="s">
        <v>24</v>
      </c>
      <c r="B12">
        <v>65.099999999999994</v>
      </c>
    </row>
    <row r="13" spans="1:2" x14ac:dyDescent="0.25">
      <c r="A13" t="s">
        <v>40</v>
      </c>
      <c r="B13">
        <v>65.900000000000006</v>
      </c>
    </row>
    <row r="14" spans="1:2" x14ac:dyDescent="0.25">
      <c r="A14" s="17" t="s">
        <v>178</v>
      </c>
      <c r="B14" s="18">
        <v>66</v>
      </c>
    </row>
    <row r="15" spans="1:2" x14ac:dyDescent="0.25">
      <c r="A15" t="s">
        <v>77</v>
      </c>
      <c r="B15">
        <v>66.3</v>
      </c>
    </row>
    <row r="16" spans="1:2" x14ac:dyDescent="0.25">
      <c r="A16" t="s">
        <v>48</v>
      </c>
      <c r="B16">
        <v>66.5</v>
      </c>
    </row>
    <row r="17" spans="1:2" x14ac:dyDescent="0.25">
      <c r="A17" t="s">
        <v>103</v>
      </c>
      <c r="B17">
        <v>67.5</v>
      </c>
    </row>
    <row r="18" spans="1:2" x14ac:dyDescent="0.25">
      <c r="A18" t="s">
        <v>97</v>
      </c>
      <c r="B18">
        <v>71</v>
      </c>
    </row>
    <row r="19" spans="1:2" x14ac:dyDescent="0.25">
      <c r="A19" t="s">
        <v>74</v>
      </c>
      <c r="B19">
        <v>72.099999999999994</v>
      </c>
    </row>
    <row r="20" spans="1:2" x14ac:dyDescent="0.25">
      <c r="A20" t="s">
        <v>124</v>
      </c>
      <c r="B20">
        <v>73.599999999999994</v>
      </c>
    </row>
    <row r="21" spans="1:2" x14ac:dyDescent="0.25">
      <c r="A21" t="s">
        <v>68</v>
      </c>
      <c r="B21">
        <v>74.5</v>
      </c>
    </row>
    <row r="22" spans="1:2" x14ac:dyDescent="0.25">
      <c r="A22" t="s">
        <v>106</v>
      </c>
      <c r="B22">
        <v>75.3</v>
      </c>
    </row>
    <row r="23" spans="1:2" x14ac:dyDescent="0.25">
      <c r="A23" t="s">
        <v>127</v>
      </c>
      <c r="B23">
        <v>75.900000000000006</v>
      </c>
    </row>
    <row r="24" spans="1:2" x14ac:dyDescent="0.25">
      <c r="A24" t="s">
        <v>130</v>
      </c>
      <c r="B24">
        <v>76</v>
      </c>
    </row>
    <row r="25" spans="1:2" x14ac:dyDescent="0.25">
      <c r="A25" t="s">
        <v>59</v>
      </c>
      <c r="B25">
        <v>76.099999999999994</v>
      </c>
    </row>
    <row r="26" spans="1:2" x14ac:dyDescent="0.25">
      <c r="A26" t="s">
        <v>81</v>
      </c>
      <c r="B26">
        <v>76.099999999999994</v>
      </c>
    </row>
    <row r="27" spans="1:2" x14ac:dyDescent="0.25">
      <c r="A27" s="17" t="s">
        <v>144</v>
      </c>
      <c r="B27" s="17">
        <v>76.099999999999994</v>
      </c>
    </row>
    <row r="28" spans="1:2" x14ac:dyDescent="0.25">
      <c r="A28" t="s">
        <v>12</v>
      </c>
      <c r="B28">
        <v>76.3</v>
      </c>
    </row>
    <row r="29" spans="1:2" x14ac:dyDescent="0.25">
      <c r="A29" t="s">
        <v>109</v>
      </c>
      <c r="B29">
        <v>77</v>
      </c>
    </row>
    <row r="30" spans="1:2" x14ac:dyDescent="0.25">
      <c r="A30" t="s">
        <v>31</v>
      </c>
      <c r="B30">
        <v>77.8</v>
      </c>
    </row>
    <row r="31" spans="1:2" x14ac:dyDescent="0.25">
      <c r="A31" t="s">
        <v>9</v>
      </c>
      <c r="B31">
        <v>78.5</v>
      </c>
    </row>
    <row r="32" spans="1:2" x14ac:dyDescent="0.25">
      <c r="A32" t="s">
        <v>71</v>
      </c>
      <c r="B32">
        <v>79.8</v>
      </c>
    </row>
    <row r="33" spans="1:2" x14ac:dyDescent="0.25">
      <c r="A33" t="s">
        <v>34</v>
      </c>
      <c r="B33">
        <v>80.900000000000006</v>
      </c>
    </row>
    <row r="34" spans="1:2" x14ac:dyDescent="0.25">
      <c r="A34" t="s">
        <v>112</v>
      </c>
      <c r="B34">
        <v>81.099999999999994</v>
      </c>
    </row>
    <row r="35" spans="1:2" x14ac:dyDescent="0.25">
      <c r="A35" t="s">
        <v>15</v>
      </c>
      <c r="B35">
        <v>81.2</v>
      </c>
    </row>
    <row r="36" spans="1:2" x14ac:dyDescent="0.25">
      <c r="A36" t="s">
        <v>18</v>
      </c>
      <c r="B36">
        <v>81.3</v>
      </c>
    </row>
    <row r="37" spans="1:2" x14ac:dyDescent="0.25">
      <c r="A37" t="s">
        <v>50</v>
      </c>
      <c r="B37">
        <v>81.400000000000006</v>
      </c>
    </row>
    <row r="38" spans="1:2" x14ac:dyDescent="0.25">
      <c r="A38" t="s">
        <v>95</v>
      </c>
      <c r="B38">
        <v>81.400000000000006</v>
      </c>
    </row>
    <row r="39" spans="1:2" x14ac:dyDescent="0.25">
      <c r="A39" s="17" t="s">
        <v>179</v>
      </c>
      <c r="B39" s="18">
        <v>81.400000000000006</v>
      </c>
    </row>
    <row r="40" spans="1:2" x14ac:dyDescent="0.25">
      <c r="A40" t="s">
        <v>43</v>
      </c>
      <c r="B40">
        <v>81.5</v>
      </c>
    </row>
    <row r="41" spans="1:2" x14ac:dyDescent="0.25">
      <c r="A41" t="s">
        <v>100</v>
      </c>
      <c r="B41">
        <v>81.7</v>
      </c>
    </row>
    <row r="42" spans="1:2" x14ac:dyDescent="0.25">
      <c r="A42" t="s">
        <v>92</v>
      </c>
      <c r="B42">
        <v>82</v>
      </c>
    </row>
    <row r="43" spans="1:2" x14ac:dyDescent="0.25">
      <c r="A43" t="s">
        <v>89</v>
      </c>
      <c r="B43">
        <v>82.3</v>
      </c>
    </row>
    <row r="44" spans="1:2" x14ac:dyDescent="0.25">
      <c r="A44" t="s">
        <v>115</v>
      </c>
      <c r="B44">
        <v>82.6</v>
      </c>
    </row>
    <row r="45" spans="1:2" x14ac:dyDescent="0.25">
      <c r="A45" s="17" t="s">
        <v>180</v>
      </c>
      <c r="B45" s="16">
        <v>82.67</v>
      </c>
    </row>
    <row r="46" spans="1:2" x14ac:dyDescent="0.25">
      <c r="A46" t="s">
        <v>46</v>
      </c>
      <c r="B46">
        <v>82.7</v>
      </c>
    </row>
    <row r="47" spans="1:2" x14ac:dyDescent="0.25">
      <c r="A47" t="s">
        <v>62</v>
      </c>
      <c r="B47">
        <v>82.7</v>
      </c>
    </row>
    <row r="48" spans="1:2" x14ac:dyDescent="0.25">
      <c r="A48" t="s">
        <v>65</v>
      </c>
      <c r="B48">
        <v>83.2</v>
      </c>
    </row>
    <row r="49" spans="1:2" x14ac:dyDescent="0.25">
      <c r="A49" t="s">
        <v>37</v>
      </c>
      <c r="B49">
        <v>83.3</v>
      </c>
    </row>
    <row r="50" spans="1:2" x14ac:dyDescent="0.25">
      <c r="A50" t="s">
        <v>118</v>
      </c>
      <c r="B50">
        <v>83.5</v>
      </c>
    </row>
  </sheetData>
  <autoFilter ref="A1:B44" xr:uid="{BE965E72-CEF2-4509-BD7E-381F1B978EFA}">
    <sortState xmlns:xlrd2="http://schemas.microsoft.com/office/spreadsheetml/2017/richdata2" ref="A2:B50">
      <sortCondition ref="B1:B44"/>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4CDA-B40D-4507-BED1-0DCDB7ED647D}">
  <dimension ref="A1:B45"/>
  <sheetViews>
    <sheetView zoomScale="86" workbookViewId="0">
      <selection activeCell="B7" sqref="B4:B7"/>
    </sheetView>
  </sheetViews>
  <sheetFormatPr baseColWidth="10" defaultRowHeight="13.2" x14ac:dyDescent="0.25"/>
  <sheetData>
    <row r="1" spans="1:2" x14ac:dyDescent="0.25">
      <c r="A1" t="s">
        <v>0</v>
      </c>
      <c r="B1" t="s">
        <v>3</v>
      </c>
    </row>
    <row r="2" spans="1:2" x14ac:dyDescent="0.25">
      <c r="A2" t="s">
        <v>121</v>
      </c>
      <c r="B2">
        <v>53.2</v>
      </c>
    </row>
    <row r="3" spans="1:2" x14ac:dyDescent="0.25">
      <c r="A3" t="s">
        <v>29</v>
      </c>
      <c r="B3">
        <v>54.1</v>
      </c>
    </row>
    <row r="4" spans="1:2" x14ac:dyDescent="0.25">
      <c r="A4" t="s">
        <v>56</v>
      </c>
      <c r="B4">
        <v>57.9</v>
      </c>
    </row>
    <row r="5" spans="1:2" x14ac:dyDescent="0.25">
      <c r="A5" t="s">
        <v>79</v>
      </c>
      <c r="B5">
        <v>58.5</v>
      </c>
    </row>
    <row r="6" spans="1:2" x14ac:dyDescent="0.25">
      <c r="A6" t="s">
        <v>21</v>
      </c>
      <c r="B6">
        <v>58.6</v>
      </c>
    </row>
    <row r="7" spans="1:2" x14ac:dyDescent="0.25">
      <c r="A7" t="s">
        <v>26</v>
      </c>
      <c r="B7">
        <v>60</v>
      </c>
    </row>
    <row r="8" spans="1:2" x14ac:dyDescent="0.25">
      <c r="A8" t="s">
        <v>87</v>
      </c>
      <c r="B8">
        <v>60.4</v>
      </c>
    </row>
    <row r="9" spans="1:2" x14ac:dyDescent="0.25">
      <c r="A9" t="s">
        <v>53</v>
      </c>
      <c r="B9">
        <v>60.6</v>
      </c>
    </row>
    <row r="10" spans="1:2" x14ac:dyDescent="0.25">
      <c r="A10" t="s">
        <v>84</v>
      </c>
      <c r="B10">
        <v>63.4</v>
      </c>
    </row>
    <row r="11" spans="1:2" x14ac:dyDescent="0.25">
      <c r="A11" t="s">
        <v>24</v>
      </c>
      <c r="B11">
        <v>65.099999999999994</v>
      </c>
    </row>
    <row r="12" spans="1:2" x14ac:dyDescent="0.25">
      <c r="A12" t="s">
        <v>40</v>
      </c>
      <c r="B12">
        <v>65.900000000000006</v>
      </c>
    </row>
    <row r="13" spans="1:2" x14ac:dyDescent="0.25">
      <c r="A13" t="s">
        <v>77</v>
      </c>
      <c r="B13">
        <v>66.3</v>
      </c>
    </row>
    <row r="14" spans="1:2" x14ac:dyDescent="0.25">
      <c r="A14" t="s">
        <v>48</v>
      </c>
      <c r="B14">
        <v>66.5</v>
      </c>
    </row>
    <row r="15" spans="1:2" x14ac:dyDescent="0.25">
      <c r="A15" t="s">
        <v>103</v>
      </c>
      <c r="B15">
        <v>67.5</v>
      </c>
    </row>
    <row r="16" spans="1:2" x14ac:dyDescent="0.25">
      <c r="A16" t="s">
        <v>97</v>
      </c>
      <c r="B16">
        <v>71</v>
      </c>
    </row>
    <row r="17" spans="1:2" x14ac:dyDescent="0.25">
      <c r="A17" t="s">
        <v>74</v>
      </c>
      <c r="B17">
        <v>72.099999999999994</v>
      </c>
    </row>
    <row r="18" spans="1:2" x14ac:dyDescent="0.25">
      <c r="A18" t="s">
        <v>124</v>
      </c>
      <c r="B18">
        <v>73.599999999999994</v>
      </c>
    </row>
    <row r="19" spans="1:2" x14ac:dyDescent="0.25">
      <c r="A19" t="s">
        <v>68</v>
      </c>
      <c r="B19">
        <v>74.5</v>
      </c>
    </row>
    <row r="20" spans="1:2" x14ac:dyDescent="0.25">
      <c r="A20" t="s">
        <v>106</v>
      </c>
      <c r="B20">
        <v>75.3</v>
      </c>
    </row>
    <row r="21" spans="1:2" x14ac:dyDescent="0.25">
      <c r="A21" t="s">
        <v>127</v>
      </c>
      <c r="B21">
        <v>75.900000000000006</v>
      </c>
    </row>
    <row r="22" spans="1:2" x14ac:dyDescent="0.25">
      <c r="A22" t="s">
        <v>130</v>
      </c>
      <c r="B22">
        <v>76</v>
      </c>
    </row>
    <row r="23" spans="1:2" x14ac:dyDescent="0.25">
      <c r="A23" t="s">
        <v>59</v>
      </c>
      <c r="B23">
        <v>76.099999999999994</v>
      </c>
    </row>
    <row r="24" spans="1:2" x14ac:dyDescent="0.25">
      <c r="A24" t="s">
        <v>81</v>
      </c>
      <c r="B24">
        <v>76.099999999999994</v>
      </c>
    </row>
    <row r="25" spans="1:2" x14ac:dyDescent="0.25">
      <c r="A25" t="s">
        <v>12</v>
      </c>
      <c r="B25">
        <v>76.3</v>
      </c>
    </row>
    <row r="26" spans="1:2" x14ac:dyDescent="0.25">
      <c r="A26" t="s">
        <v>109</v>
      </c>
      <c r="B26">
        <v>77</v>
      </c>
    </row>
    <row r="27" spans="1:2" x14ac:dyDescent="0.25">
      <c r="A27" t="s">
        <v>31</v>
      </c>
      <c r="B27">
        <v>77.8</v>
      </c>
    </row>
    <row r="28" spans="1:2" x14ac:dyDescent="0.25">
      <c r="A28" t="s">
        <v>9</v>
      </c>
      <c r="B28">
        <v>78.5</v>
      </c>
    </row>
    <row r="29" spans="1:2" x14ac:dyDescent="0.25">
      <c r="A29" t="s">
        <v>71</v>
      </c>
      <c r="B29">
        <v>79.8</v>
      </c>
    </row>
    <row r="30" spans="1:2" x14ac:dyDescent="0.25">
      <c r="A30" t="s">
        <v>34</v>
      </c>
      <c r="B30">
        <v>80.900000000000006</v>
      </c>
    </row>
    <row r="31" spans="1:2" x14ac:dyDescent="0.25">
      <c r="A31" t="s">
        <v>112</v>
      </c>
      <c r="B31">
        <v>81.099999999999994</v>
      </c>
    </row>
    <row r="32" spans="1:2" x14ac:dyDescent="0.25">
      <c r="A32" t="s">
        <v>15</v>
      </c>
      <c r="B32">
        <v>81.2</v>
      </c>
    </row>
    <row r="33" spans="1:2" x14ac:dyDescent="0.25">
      <c r="A33" t="s">
        <v>18</v>
      </c>
      <c r="B33">
        <v>81.3</v>
      </c>
    </row>
    <row r="34" spans="1:2" x14ac:dyDescent="0.25">
      <c r="A34" t="s">
        <v>50</v>
      </c>
      <c r="B34">
        <v>81.400000000000006</v>
      </c>
    </row>
    <row r="35" spans="1:2" x14ac:dyDescent="0.25">
      <c r="A35" t="s">
        <v>95</v>
      </c>
      <c r="B35">
        <v>81.400000000000006</v>
      </c>
    </row>
    <row r="36" spans="1:2" x14ac:dyDescent="0.25">
      <c r="A36" t="s">
        <v>43</v>
      </c>
      <c r="B36">
        <v>81.5</v>
      </c>
    </row>
    <row r="37" spans="1:2" x14ac:dyDescent="0.25">
      <c r="A37" t="s">
        <v>100</v>
      </c>
      <c r="B37">
        <v>81.7</v>
      </c>
    </row>
    <row r="38" spans="1:2" x14ac:dyDescent="0.25">
      <c r="A38" t="s">
        <v>92</v>
      </c>
      <c r="B38">
        <v>82</v>
      </c>
    </row>
    <row r="39" spans="1:2" x14ac:dyDescent="0.25">
      <c r="A39" t="s">
        <v>89</v>
      </c>
      <c r="B39">
        <v>82.3</v>
      </c>
    </row>
    <row r="40" spans="1:2" x14ac:dyDescent="0.25">
      <c r="A40" t="s">
        <v>115</v>
      </c>
      <c r="B40">
        <v>82.6</v>
      </c>
    </row>
    <row r="41" spans="1:2" x14ac:dyDescent="0.25">
      <c r="A41" t="s">
        <v>46</v>
      </c>
      <c r="B41">
        <v>82.7</v>
      </c>
    </row>
    <row r="42" spans="1:2" x14ac:dyDescent="0.25">
      <c r="A42" t="s">
        <v>62</v>
      </c>
      <c r="B42">
        <v>82.7</v>
      </c>
    </row>
    <row r="43" spans="1:2" x14ac:dyDescent="0.25">
      <c r="A43" t="s">
        <v>65</v>
      </c>
      <c r="B43">
        <v>83.2</v>
      </c>
    </row>
    <row r="44" spans="1:2" x14ac:dyDescent="0.25">
      <c r="A44" t="s">
        <v>37</v>
      </c>
      <c r="B44">
        <v>83.3</v>
      </c>
    </row>
    <row r="45" spans="1:2" x14ac:dyDescent="0.25">
      <c r="A45" t="s">
        <v>118</v>
      </c>
      <c r="B45">
        <v>83.5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75A4-0F58-474E-BC65-B1035499AA53}">
  <dimension ref="A1:F3"/>
  <sheetViews>
    <sheetView workbookViewId="0">
      <selection activeCell="B3" sqref="B3"/>
    </sheetView>
  </sheetViews>
  <sheetFormatPr baseColWidth="10" defaultRowHeight="13.2" x14ac:dyDescent="0.25"/>
  <sheetData>
    <row r="1" spans="1:6" x14ac:dyDescent="0.25">
      <c r="B1" t="s">
        <v>146</v>
      </c>
      <c r="C1" t="s">
        <v>147</v>
      </c>
      <c r="D1" t="s">
        <v>148</v>
      </c>
      <c r="E1" t="s">
        <v>149</v>
      </c>
      <c r="F1" t="s">
        <v>150</v>
      </c>
    </row>
    <row r="2" spans="1:6" x14ac:dyDescent="0.25">
      <c r="A2" t="s">
        <v>145</v>
      </c>
      <c r="B2" s="2">
        <f>COVAR(Dataset!$B2:$B45,Dataset!C2:C45)</f>
        <v>2861.2549493801653</v>
      </c>
      <c r="C2" s="2">
        <f>COVAR(Dataset!$B2:$B45,Dataset!D2:D45)</f>
        <v>1.5441345041322314</v>
      </c>
      <c r="D2" s="2">
        <f>COVAR(Dataset!$B2:$B45,Dataset!E2:E45)</f>
        <v>0.63419752066115698</v>
      </c>
      <c r="E2" s="2">
        <f>COVAR(Dataset!$B2:$B45,Dataset!F2:F45)</f>
        <v>-0.34254080578512386</v>
      </c>
      <c r="F2" s="2">
        <f>COVAR(Dataset!$B2:$B45,Dataset!G2:G45)</f>
        <v>-4.9883224271267103E-2</v>
      </c>
    </row>
    <row r="3" spans="1:6" x14ac:dyDescent="0.25">
      <c r="A3" t="s">
        <v>151</v>
      </c>
      <c r="B3" s="2">
        <f>CORREL(Dataset!$B2:$B45,Dataset!C2:C45)</f>
        <v>0.87675501166515613</v>
      </c>
      <c r="C3" s="2">
        <f>CORREL(Dataset!$B2:$B45,Dataset!D2:D45)</f>
        <v>0.92959295463194547</v>
      </c>
      <c r="D3" s="2">
        <f>CORREL(Dataset!$B2:$B45,Dataset!E2:E45)</f>
        <v>0.9669891788907381</v>
      </c>
      <c r="E3" s="2">
        <f>CORREL(Dataset!$B2:$B45,Dataset!F2:F45)</f>
        <v>-7.2472030493049122E-2</v>
      </c>
      <c r="F3" s="2">
        <f>CORREL(Dataset!$B2:$B45,Dataset!G2:G45)</f>
        <v>-0.53353857534192317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F4D4-6C5A-4D10-ABA3-1FA39A752F90}">
  <dimension ref="A1:C47"/>
  <sheetViews>
    <sheetView topLeftCell="D1" workbookViewId="0">
      <selection activeCell="P19" sqref="P19"/>
    </sheetView>
  </sheetViews>
  <sheetFormatPr baseColWidth="10" defaultRowHeight="13.2" x14ac:dyDescent="0.25"/>
  <cols>
    <col min="3" max="3" width="17.5546875" bestFit="1" customWidth="1"/>
  </cols>
  <sheetData>
    <row r="1" spans="1:3" x14ac:dyDescent="0.25">
      <c r="A1" t="s">
        <v>0</v>
      </c>
      <c r="B1" t="s">
        <v>2</v>
      </c>
      <c r="C1" t="s">
        <v>3</v>
      </c>
    </row>
    <row r="2" spans="1:3" x14ac:dyDescent="0.25">
      <c r="A2" t="s">
        <v>121</v>
      </c>
      <c r="B2">
        <v>1750</v>
      </c>
      <c r="C2">
        <v>53.2</v>
      </c>
    </row>
    <row r="3" spans="1:3" x14ac:dyDescent="0.25">
      <c r="A3" t="s">
        <v>29</v>
      </c>
      <c r="B3">
        <v>3481</v>
      </c>
      <c r="C3">
        <v>54.1</v>
      </c>
    </row>
    <row r="4" spans="1:3" x14ac:dyDescent="0.25">
      <c r="A4" t="s">
        <v>56</v>
      </c>
      <c r="B4">
        <v>19513</v>
      </c>
      <c r="C4">
        <v>57.9</v>
      </c>
    </row>
    <row r="5" spans="1:3" x14ac:dyDescent="0.25">
      <c r="A5" t="s">
        <v>79</v>
      </c>
      <c r="B5">
        <v>1953</v>
      </c>
      <c r="C5">
        <v>58.5</v>
      </c>
    </row>
    <row r="6" spans="1:3" x14ac:dyDescent="0.25">
      <c r="A6" t="s">
        <v>21</v>
      </c>
      <c r="B6">
        <v>3315</v>
      </c>
      <c r="C6">
        <v>58.6</v>
      </c>
    </row>
    <row r="7" spans="1:3" x14ac:dyDescent="0.25">
      <c r="A7" t="s">
        <v>26</v>
      </c>
      <c r="B7">
        <v>796</v>
      </c>
      <c r="C7">
        <v>60</v>
      </c>
    </row>
    <row r="8" spans="1:3" x14ac:dyDescent="0.25">
      <c r="A8" t="s">
        <v>87</v>
      </c>
      <c r="B8">
        <v>906</v>
      </c>
      <c r="C8">
        <v>60.4</v>
      </c>
    </row>
    <row r="9" spans="1:3" x14ac:dyDescent="0.25">
      <c r="A9" t="s">
        <v>53</v>
      </c>
      <c r="B9">
        <v>2067</v>
      </c>
      <c r="C9">
        <v>60.6</v>
      </c>
    </row>
    <row r="10" spans="1:3" x14ac:dyDescent="0.25">
      <c r="A10" t="s">
        <v>84</v>
      </c>
      <c r="B10">
        <v>3592</v>
      </c>
      <c r="C10">
        <v>63.4</v>
      </c>
    </row>
    <row r="11" spans="1:3" x14ac:dyDescent="0.25">
      <c r="A11" t="s">
        <v>24</v>
      </c>
      <c r="B11">
        <v>5694</v>
      </c>
      <c r="C11">
        <v>65.099999999999994</v>
      </c>
    </row>
    <row r="12" spans="1:3" x14ac:dyDescent="0.25">
      <c r="A12" t="s">
        <v>40</v>
      </c>
      <c r="B12">
        <v>1719</v>
      </c>
      <c r="C12">
        <v>65.900000000000006</v>
      </c>
    </row>
    <row r="13" spans="1:3" x14ac:dyDescent="0.25">
      <c r="A13" t="s">
        <v>77</v>
      </c>
      <c r="B13">
        <v>1358</v>
      </c>
      <c r="C13">
        <v>66.3</v>
      </c>
    </row>
    <row r="14" spans="1:3" x14ac:dyDescent="0.25">
      <c r="A14" t="s">
        <v>48</v>
      </c>
      <c r="B14">
        <v>16431</v>
      </c>
      <c r="C14">
        <v>66.5</v>
      </c>
    </row>
    <row r="15" spans="1:3" x14ac:dyDescent="0.25">
      <c r="A15" t="s">
        <v>103</v>
      </c>
      <c r="B15">
        <v>2384</v>
      </c>
      <c r="C15">
        <v>67.5</v>
      </c>
    </row>
    <row r="16" spans="1:3" x14ac:dyDescent="0.25">
      <c r="A16" t="s">
        <v>97</v>
      </c>
      <c r="B16">
        <v>2337</v>
      </c>
      <c r="C16">
        <v>71</v>
      </c>
    </row>
    <row r="17" spans="1:3" x14ac:dyDescent="0.25">
      <c r="A17" t="s">
        <v>74</v>
      </c>
      <c r="B17">
        <v>11100</v>
      </c>
      <c r="C17">
        <v>72.099999999999994</v>
      </c>
    </row>
    <row r="18" spans="1:3" x14ac:dyDescent="0.25">
      <c r="A18" t="s">
        <v>124</v>
      </c>
      <c r="B18">
        <v>5055</v>
      </c>
      <c r="C18">
        <v>73.599999999999994</v>
      </c>
    </row>
    <row r="19" spans="1:3" x14ac:dyDescent="0.25">
      <c r="A19" t="s">
        <v>68</v>
      </c>
      <c r="B19">
        <v>8288</v>
      </c>
      <c r="C19">
        <v>74.5</v>
      </c>
    </row>
    <row r="20" spans="1:3" x14ac:dyDescent="0.25">
      <c r="A20" t="s">
        <v>106</v>
      </c>
      <c r="B20">
        <v>13019</v>
      </c>
      <c r="C20">
        <v>75.3</v>
      </c>
    </row>
    <row r="21" spans="1:3" x14ac:dyDescent="0.25">
      <c r="A21" t="s">
        <v>127</v>
      </c>
      <c r="B21">
        <v>10275</v>
      </c>
      <c r="C21">
        <v>75.900000000000006</v>
      </c>
    </row>
    <row r="22" spans="1:3" x14ac:dyDescent="0.25">
      <c r="A22" t="s">
        <v>130</v>
      </c>
      <c r="B22">
        <v>24804</v>
      </c>
      <c r="C22">
        <v>76</v>
      </c>
    </row>
    <row r="23" spans="1:3" x14ac:dyDescent="0.25">
      <c r="A23" t="s">
        <v>59</v>
      </c>
      <c r="B23">
        <v>25393</v>
      </c>
      <c r="C23">
        <v>76.099999999999994</v>
      </c>
    </row>
    <row r="24" spans="1:3" x14ac:dyDescent="0.25">
      <c r="A24" t="s">
        <v>81</v>
      </c>
      <c r="B24">
        <v>7340</v>
      </c>
      <c r="C24">
        <v>76.099999999999994</v>
      </c>
    </row>
    <row r="25" spans="1:3" x14ac:dyDescent="0.25">
      <c r="A25" t="s">
        <v>12</v>
      </c>
      <c r="B25">
        <v>13802</v>
      </c>
      <c r="C25">
        <v>76.3</v>
      </c>
    </row>
    <row r="26" spans="1:3" x14ac:dyDescent="0.25">
      <c r="A26" t="s">
        <v>109</v>
      </c>
      <c r="B26">
        <v>29467</v>
      </c>
      <c r="C26">
        <v>77</v>
      </c>
    </row>
    <row r="27" spans="1:3" x14ac:dyDescent="0.25">
      <c r="A27" t="s">
        <v>31</v>
      </c>
      <c r="B27">
        <v>22162</v>
      </c>
      <c r="C27">
        <v>77.8</v>
      </c>
    </row>
    <row r="28" spans="1:3" x14ac:dyDescent="0.25">
      <c r="A28" t="s">
        <v>9</v>
      </c>
      <c r="B28">
        <v>11886</v>
      </c>
      <c r="C28">
        <v>78.5</v>
      </c>
    </row>
    <row r="29" spans="1:3" x14ac:dyDescent="0.25">
      <c r="A29" t="s">
        <v>71</v>
      </c>
      <c r="B29">
        <v>13378</v>
      </c>
      <c r="C29">
        <v>79.8</v>
      </c>
    </row>
    <row r="30" spans="1:3" x14ac:dyDescent="0.25">
      <c r="A30" t="s">
        <v>34</v>
      </c>
      <c r="B30">
        <v>47918</v>
      </c>
      <c r="C30">
        <v>80.900000000000006</v>
      </c>
    </row>
    <row r="31" spans="1:3" x14ac:dyDescent="0.25">
      <c r="A31" t="s">
        <v>112</v>
      </c>
      <c r="B31">
        <v>30594</v>
      </c>
      <c r="C31">
        <v>81.099999999999994</v>
      </c>
    </row>
    <row r="32" spans="1:3" x14ac:dyDescent="0.25">
      <c r="A32" t="s">
        <v>15</v>
      </c>
      <c r="B32">
        <v>46136</v>
      </c>
      <c r="C32">
        <v>81.2</v>
      </c>
    </row>
    <row r="33" spans="1:3" x14ac:dyDescent="0.25">
      <c r="A33" t="s">
        <v>18</v>
      </c>
      <c r="B33">
        <v>42156</v>
      </c>
      <c r="C33">
        <v>81.3</v>
      </c>
    </row>
    <row r="34" spans="1:3" x14ac:dyDescent="0.25">
      <c r="A34" t="s">
        <v>50</v>
      </c>
      <c r="B34">
        <v>24648</v>
      </c>
      <c r="C34">
        <v>81.400000000000006</v>
      </c>
    </row>
    <row r="35" spans="1:3" x14ac:dyDescent="0.25">
      <c r="A35" t="s">
        <v>95</v>
      </c>
      <c r="B35">
        <v>27315</v>
      </c>
      <c r="C35">
        <v>81.400000000000006</v>
      </c>
    </row>
    <row r="36" spans="1:3" x14ac:dyDescent="0.25">
      <c r="A36" t="s">
        <v>43</v>
      </c>
      <c r="B36">
        <v>41002</v>
      </c>
      <c r="C36">
        <v>81.5</v>
      </c>
    </row>
    <row r="37" spans="1:3" x14ac:dyDescent="0.25">
      <c r="A37" t="s">
        <v>100</v>
      </c>
      <c r="B37">
        <v>39116</v>
      </c>
      <c r="C37">
        <v>81.7</v>
      </c>
    </row>
    <row r="38" spans="1:3" x14ac:dyDescent="0.25">
      <c r="A38" t="s">
        <v>92</v>
      </c>
      <c r="B38">
        <v>47900</v>
      </c>
      <c r="C38">
        <v>82</v>
      </c>
    </row>
    <row r="39" spans="1:3" x14ac:dyDescent="0.25">
      <c r="A39" t="s">
        <v>89</v>
      </c>
      <c r="B39">
        <v>68012</v>
      </c>
      <c r="C39">
        <v>82.3</v>
      </c>
    </row>
    <row r="40" spans="1:3" x14ac:dyDescent="0.25">
      <c r="A40" t="s">
        <v>115</v>
      </c>
      <c r="B40">
        <v>47766</v>
      </c>
      <c r="C40">
        <v>82.6</v>
      </c>
    </row>
    <row r="41" spans="1:3" x14ac:dyDescent="0.25">
      <c r="A41" t="s">
        <v>46</v>
      </c>
      <c r="B41">
        <v>39254</v>
      </c>
      <c r="C41">
        <v>82.7</v>
      </c>
    </row>
    <row r="42" spans="1:3" x14ac:dyDescent="0.25">
      <c r="A42" t="s">
        <v>62</v>
      </c>
      <c r="B42">
        <v>32711</v>
      </c>
      <c r="C42">
        <v>82.7</v>
      </c>
    </row>
    <row r="43" spans="1:3" x14ac:dyDescent="0.25">
      <c r="A43" t="s">
        <v>65</v>
      </c>
      <c r="B43">
        <v>35299</v>
      </c>
      <c r="C43">
        <v>83.2</v>
      </c>
    </row>
    <row r="44" spans="1:3" x14ac:dyDescent="0.25">
      <c r="A44" t="s">
        <v>37</v>
      </c>
      <c r="B44">
        <v>34258</v>
      </c>
      <c r="C44">
        <v>83.3</v>
      </c>
    </row>
    <row r="45" spans="1:3" x14ac:dyDescent="0.25">
      <c r="A45" t="s">
        <v>118</v>
      </c>
      <c r="B45">
        <v>57625</v>
      </c>
      <c r="C45">
        <v>83.5</v>
      </c>
    </row>
    <row r="46" spans="1:3" x14ac:dyDescent="0.25">
      <c r="A46" t="s">
        <v>181</v>
      </c>
      <c r="B46">
        <f>CORREL(B2:B45,C2:C45)</f>
        <v>0.76547392205730347</v>
      </c>
    </row>
    <row r="47" spans="1:3" x14ac:dyDescent="0.25">
      <c r="A47" t="s">
        <v>182</v>
      </c>
      <c r="B47">
        <f>RSQ(B2:B45,C2:C45)</f>
        <v>0.58595032534979041</v>
      </c>
    </row>
  </sheetData>
  <autoFilter ref="A1:C45" xr:uid="{EF82F4D4-6C5A-4D10-ABA3-1FA39A752F90}">
    <sortState xmlns:xlrd2="http://schemas.microsoft.com/office/spreadsheetml/2017/richdata2" ref="A2:C45">
      <sortCondition ref="C1:C45"/>
    </sortState>
  </autoFilter>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CD14-DC11-4834-A74B-CE1505C75D7C}">
  <dimension ref="A1:R45"/>
  <sheetViews>
    <sheetView topLeftCell="D18" zoomScale="92" zoomScaleNormal="85" workbookViewId="0">
      <selection activeCell="N47" sqref="N47"/>
    </sheetView>
  </sheetViews>
  <sheetFormatPr baseColWidth="10" defaultRowHeight="13.2" x14ac:dyDescent="0.25"/>
  <cols>
    <col min="2" max="2" width="18.77734375" bestFit="1" customWidth="1"/>
    <col min="3" max="3" width="14.109375" bestFit="1" customWidth="1"/>
    <col min="4" max="4" width="23.44140625" bestFit="1" customWidth="1"/>
    <col min="5" max="5" width="22.33203125" bestFit="1" customWidth="1"/>
    <col min="10" max="10" width="34.5546875" customWidth="1"/>
    <col min="11" max="11" width="15.44140625" bestFit="1" customWidth="1"/>
    <col min="12" max="12" width="13.6640625" bestFit="1" customWidth="1"/>
    <col min="13" max="13" width="11.6640625" bestFit="1" customWidth="1"/>
    <col min="14" max="14" width="13.6640625" bestFit="1" customWidth="1"/>
    <col min="15" max="18" width="19.6640625" customWidth="1"/>
  </cols>
  <sheetData>
    <row r="1" spans="1:15" x14ac:dyDescent="0.25">
      <c r="A1" t="s">
        <v>0</v>
      </c>
      <c r="B1" t="s">
        <v>3</v>
      </c>
      <c r="C1" t="s">
        <v>2</v>
      </c>
      <c r="D1" t="s">
        <v>4</v>
      </c>
      <c r="E1" t="s">
        <v>5</v>
      </c>
    </row>
    <row r="2" spans="1:15" x14ac:dyDescent="0.25">
      <c r="A2" t="s">
        <v>9</v>
      </c>
      <c r="B2">
        <v>78.5</v>
      </c>
      <c r="C2">
        <v>11886</v>
      </c>
      <c r="D2">
        <v>14.8</v>
      </c>
      <c r="E2">
        <v>2.9</v>
      </c>
    </row>
    <row r="3" spans="1:15" x14ac:dyDescent="0.25">
      <c r="A3" t="s">
        <v>12</v>
      </c>
      <c r="B3">
        <v>76.3</v>
      </c>
      <c r="C3">
        <v>13802</v>
      </c>
      <c r="D3">
        <v>14.4</v>
      </c>
      <c r="E3">
        <v>41.3</v>
      </c>
      <c r="J3" t="s">
        <v>152</v>
      </c>
    </row>
    <row r="4" spans="1:15" ht="13.8" thickBot="1" x14ac:dyDescent="0.3">
      <c r="A4" t="s">
        <v>15</v>
      </c>
      <c r="B4">
        <v>81.2</v>
      </c>
      <c r="C4">
        <v>46136</v>
      </c>
      <c r="D4">
        <v>17</v>
      </c>
      <c r="E4">
        <v>82.1</v>
      </c>
    </row>
    <row r="5" spans="1:15" x14ac:dyDescent="0.25">
      <c r="A5" t="s">
        <v>18</v>
      </c>
      <c r="B5">
        <v>81.3</v>
      </c>
      <c r="C5">
        <v>42156</v>
      </c>
      <c r="D5">
        <v>19.8</v>
      </c>
      <c r="E5">
        <v>11.4</v>
      </c>
      <c r="J5" s="8" t="s">
        <v>153</v>
      </c>
      <c r="K5" s="8"/>
    </row>
    <row r="6" spans="1:15" x14ac:dyDescent="0.25">
      <c r="A6" t="s">
        <v>21</v>
      </c>
      <c r="B6">
        <v>58.6</v>
      </c>
      <c r="C6">
        <v>3315</v>
      </c>
      <c r="D6">
        <v>12.2</v>
      </c>
      <c r="E6">
        <v>24.1</v>
      </c>
      <c r="J6" s="9" t="s">
        <v>154</v>
      </c>
      <c r="K6" s="10">
        <v>0.89270209867298467</v>
      </c>
    </row>
    <row r="7" spans="1:15" x14ac:dyDescent="0.25">
      <c r="A7" t="s">
        <v>24</v>
      </c>
      <c r="B7">
        <v>65.099999999999994</v>
      </c>
      <c r="C7">
        <v>5694</v>
      </c>
      <c r="D7">
        <v>11.4</v>
      </c>
      <c r="E7">
        <v>5.3</v>
      </c>
      <c r="J7" s="9" t="s">
        <v>155</v>
      </c>
      <c r="K7" s="10">
        <v>0.79691703697515126</v>
      </c>
    </row>
    <row r="8" spans="1:15" x14ac:dyDescent="0.25">
      <c r="A8" t="s">
        <v>26</v>
      </c>
      <c r="B8">
        <v>60</v>
      </c>
      <c r="C8">
        <v>796</v>
      </c>
      <c r="D8">
        <v>9.8000000000000007</v>
      </c>
      <c r="E8">
        <v>81.3</v>
      </c>
      <c r="J8" t="s">
        <v>155</v>
      </c>
      <c r="K8" s="2">
        <v>0.78168581474828758</v>
      </c>
    </row>
    <row r="9" spans="1:15" x14ac:dyDescent="0.25">
      <c r="A9" t="s">
        <v>29</v>
      </c>
      <c r="B9">
        <v>54.1</v>
      </c>
      <c r="C9">
        <v>3481</v>
      </c>
      <c r="D9">
        <v>9</v>
      </c>
      <c r="E9">
        <v>24.3</v>
      </c>
      <c r="J9" t="s">
        <v>156</v>
      </c>
      <c r="K9" s="2">
        <v>4.3270981509157593</v>
      </c>
    </row>
    <row r="10" spans="1:15" ht="13.8" thickBot="1" x14ac:dyDescent="0.3">
      <c r="A10" t="s">
        <v>31</v>
      </c>
      <c r="B10">
        <v>77.8</v>
      </c>
      <c r="C10">
        <v>22162</v>
      </c>
      <c r="D10">
        <v>15</v>
      </c>
      <c r="E10">
        <v>4.2</v>
      </c>
      <c r="J10" s="23" t="s">
        <v>157</v>
      </c>
      <c r="K10" s="23">
        <v>44</v>
      </c>
    </row>
    <row r="11" spans="1:15" x14ac:dyDescent="0.25">
      <c r="A11" t="s">
        <v>34</v>
      </c>
      <c r="B11">
        <v>80.900000000000006</v>
      </c>
      <c r="C11">
        <v>47918</v>
      </c>
      <c r="D11">
        <v>19.100000000000001</v>
      </c>
      <c r="E11">
        <v>5.7</v>
      </c>
    </row>
    <row r="12" spans="1:15" ht="13.8" thickBot="1" x14ac:dyDescent="0.3">
      <c r="A12" t="s">
        <v>37</v>
      </c>
      <c r="B12">
        <v>83.3</v>
      </c>
      <c r="C12">
        <v>34258</v>
      </c>
      <c r="D12">
        <v>17.899999999999999</v>
      </c>
      <c r="E12">
        <v>46.4</v>
      </c>
      <c r="J12" t="s">
        <v>158</v>
      </c>
    </row>
    <row r="13" spans="1:15" ht="26.4" x14ac:dyDescent="0.25">
      <c r="A13" t="s">
        <v>40</v>
      </c>
      <c r="B13">
        <v>65.900000000000006</v>
      </c>
      <c r="C13">
        <v>1719</v>
      </c>
      <c r="D13">
        <v>8.5</v>
      </c>
      <c r="E13">
        <v>105</v>
      </c>
      <c r="J13" s="7"/>
      <c r="K13" s="7" t="s">
        <v>162</v>
      </c>
      <c r="L13" s="20" t="s">
        <v>163</v>
      </c>
      <c r="M13" s="20" t="s">
        <v>164</v>
      </c>
      <c r="N13" s="20" t="s">
        <v>165</v>
      </c>
      <c r="O13" s="20" t="s">
        <v>166</v>
      </c>
    </row>
    <row r="14" spans="1:15" x14ac:dyDescent="0.25">
      <c r="A14" t="s">
        <v>43</v>
      </c>
      <c r="B14">
        <v>81.5</v>
      </c>
      <c r="C14">
        <v>41002</v>
      </c>
      <c r="D14">
        <v>17.600000000000001</v>
      </c>
      <c r="E14">
        <v>5.5</v>
      </c>
      <c r="J14" t="s">
        <v>159</v>
      </c>
      <c r="K14">
        <v>3</v>
      </c>
      <c r="L14">
        <v>2938.9561364209285</v>
      </c>
      <c r="M14">
        <v>979.65204547364283</v>
      </c>
      <c r="N14">
        <v>52.321279612716204</v>
      </c>
      <c r="O14">
        <v>6.573072890500045E-14</v>
      </c>
    </row>
    <row r="15" spans="1:15" x14ac:dyDescent="0.25">
      <c r="A15" t="s">
        <v>46</v>
      </c>
      <c r="B15">
        <v>82.7</v>
      </c>
      <c r="C15">
        <v>39254</v>
      </c>
      <c r="D15">
        <v>16.399999999999999</v>
      </c>
      <c r="E15">
        <v>65</v>
      </c>
      <c r="J15" t="s">
        <v>160</v>
      </c>
      <c r="K15">
        <v>40</v>
      </c>
      <c r="L15">
        <v>748.9511363063433</v>
      </c>
      <c r="M15">
        <v>18.723778407658582</v>
      </c>
    </row>
    <row r="16" spans="1:15" ht="13.8" thickBot="1" x14ac:dyDescent="0.3">
      <c r="A16" t="s">
        <v>48</v>
      </c>
      <c r="B16">
        <v>66.5</v>
      </c>
      <c r="C16">
        <v>16431</v>
      </c>
      <c r="D16">
        <v>12.8</v>
      </c>
      <c r="E16">
        <v>2</v>
      </c>
      <c r="J16" s="6" t="s">
        <v>143</v>
      </c>
      <c r="K16" s="6">
        <v>43</v>
      </c>
      <c r="L16" s="6">
        <v>3687.9072727272719</v>
      </c>
      <c r="M16" s="6"/>
      <c r="N16" s="6"/>
      <c r="O16" s="6"/>
    </row>
    <row r="17" spans="1:18" ht="13.8" thickBot="1" x14ac:dyDescent="0.3">
      <c r="A17" t="s">
        <v>50</v>
      </c>
      <c r="B17">
        <v>81.400000000000006</v>
      </c>
      <c r="C17">
        <v>24648</v>
      </c>
      <c r="D17">
        <v>17.3</v>
      </c>
      <c r="E17">
        <v>11.2</v>
      </c>
    </row>
    <row r="18" spans="1:18" ht="39.6" x14ac:dyDescent="0.25">
      <c r="A18" t="s">
        <v>53</v>
      </c>
      <c r="B18">
        <v>60.6</v>
      </c>
      <c r="C18">
        <v>2067</v>
      </c>
      <c r="D18">
        <v>9.1</v>
      </c>
      <c r="E18">
        <v>12.7</v>
      </c>
      <c r="J18" s="7"/>
      <c r="K18" s="7" t="s">
        <v>167</v>
      </c>
      <c r="L18" s="7" t="s">
        <v>156</v>
      </c>
      <c r="M18" s="7" t="s">
        <v>168</v>
      </c>
      <c r="N18" s="20" t="s">
        <v>169</v>
      </c>
      <c r="O18" s="20" t="s">
        <v>170</v>
      </c>
      <c r="P18" s="20" t="s">
        <v>171</v>
      </c>
      <c r="Q18" s="20" t="s">
        <v>172</v>
      </c>
      <c r="R18" s="20" t="s">
        <v>173</v>
      </c>
    </row>
    <row r="19" spans="1:18" x14ac:dyDescent="0.25">
      <c r="A19" t="s">
        <v>56</v>
      </c>
      <c r="B19">
        <v>57.9</v>
      </c>
      <c r="C19">
        <v>19513</v>
      </c>
      <c r="D19">
        <v>9.3000000000000007</v>
      </c>
      <c r="E19">
        <v>1.3</v>
      </c>
      <c r="J19" s="9" t="s">
        <v>161</v>
      </c>
      <c r="K19" s="10">
        <v>43.049440142043665</v>
      </c>
      <c r="L19">
        <v>3.6206132767267944</v>
      </c>
      <c r="M19">
        <v>11.890096194134932</v>
      </c>
      <c r="N19">
        <v>1.0449580272959925E-14</v>
      </c>
      <c r="O19">
        <v>35.731907750634981</v>
      </c>
      <c r="P19">
        <v>50.366972533452348</v>
      </c>
      <c r="Q19">
        <v>35.731907750634981</v>
      </c>
      <c r="R19">
        <v>50.366972533452348</v>
      </c>
    </row>
    <row r="20" spans="1:18" x14ac:dyDescent="0.25">
      <c r="A20" t="s">
        <v>59</v>
      </c>
      <c r="B20">
        <v>76.099999999999994</v>
      </c>
      <c r="C20">
        <v>25393</v>
      </c>
      <c r="D20">
        <v>15.1</v>
      </c>
      <c r="E20">
        <v>9.6999999999999993</v>
      </c>
      <c r="J20" t="s">
        <v>2</v>
      </c>
      <c r="K20" s="2">
        <v>2.43268007978427E-5</v>
      </c>
      <c r="L20">
        <v>6.7299326267318224E-5</v>
      </c>
      <c r="M20">
        <v>0.36147168399895546</v>
      </c>
      <c r="N20">
        <v>0.71964929045275994</v>
      </c>
      <c r="O20">
        <v>-1.1169021130522678E-4</v>
      </c>
      <c r="P20">
        <v>1.603438129009121E-4</v>
      </c>
      <c r="Q20">
        <v>-1.1169021130522678E-4</v>
      </c>
      <c r="R20">
        <v>1.603438129009121E-4</v>
      </c>
    </row>
    <row r="21" spans="1:18" x14ac:dyDescent="0.25">
      <c r="A21" t="s">
        <v>62</v>
      </c>
      <c r="B21">
        <v>82.7</v>
      </c>
      <c r="C21">
        <v>32711</v>
      </c>
      <c r="D21">
        <v>15.9</v>
      </c>
      <c r="E21">
        <v>8.3000000000000007</v>
      </c>
      <c r="J21" s="9" t="s">
        <v>4</v>
      </c>
      <c r="K21" s="10">
        <v>2.1596362959849738</v>
      </c>
      <c r="L21">
        <v>0.33511639521271269</v>
      </c>
      <c r="M21">
        <v>6.4444364013111333</v>
      </c>
      <c r="N21" s="19">
        <v>1.1219509328027471E-7</v>
      </c>
      <c r="O21">
        <v>1.4823407967324089</v>
      </c>
      <c r="P21">
        <v>2.8369317952375388</v>
      </c>
      <c r="Q21">
        <v>1.4823407967324089</v>
      </c>
      <c r="R21">
        <v>2.8369317952375388</v>
      </c>
    </row>
    <row r="22" spans="1:18" ht="13.8" thickBot="1" x14ac:dyDescent="0.3">
      <c r="A22" t="s">
        <v>65</v>
      </c>
      <c r="B22">
        <v>83.2</v>
      </c>
      <c r="C22">
        <v>35299</v>
      </c>
      <c r="D22">
        <v>16.3</v>
      </c>
      <c r="E22">
        <v>59.4</v>
      </c>
      <c r="J22" s="6" t="s">
        <v>5</v>
      </c>
      <c r="K22" s="11">
        <v>1.3366749031122423E-2</v>
      </c>
      <c r="L22" s="6">
        <v>2.5086724672302819E-2</v>
      </c>
      <c r="M22" s="6">
        <v>0.53282161006375139</v>
      </c>
      <c r="N22" s="6">
        <v>0.5971049981780977</v>
      </c>
      <c r="O22" s="6">
        <v>-3.7335412827458024E-2</v>
      </c>
      <c r="P22" s="6">
        <v>6.4068910889702874E-2</v>
      </c>
      <c r="Q22" s="6">
        <v>-3.7335412827458024E-2</v>
      </c>
      <c r="R22" s="6">
        <v>6.4068910889702874E-2</v>
      </c>
    </row>
    <row r="23" spans="1:18" x14ac:dyDescent="0.25">
      <c r="A23" t="s">
        <v>68</v>
      </c>
      <c r="B23">
        <v>74.5</v>
      </c>
      <c r="C23">
        <v>8288</v>
      </c>
      <c r="D23">
        <v>13.1</v>
      </c>
      <c r="E23">
        <v>9.6999999999999993</v>
      </c>
    </row>
    <row r="24" spans="1:18" x14ac:dyDescent="0.25">
      <c r="A24" t="s">
        <v>71</v>
      </c>
      <c r="B24">
        <v>79.8</v>
      </c>
      <c r="C24">
        <v>13378</v>
      </c>
      <c r="D24">
        <v>12.5</v>
      </c>
      <c r="E24">
        <v>6.1</v>
      </c>
    </row>
    <row r="25" spans="1:18" x14ac:dyDescent="0.25">
      <c r="A25" t="s">
        <v>74</v>
      </c>
      <c r="B25">
        <v>72.099999999999994</v>
      </c>
      <c r="C25">
        <v>11100</v>
      </c>
      <c r="D25">
        <v>13.4</v>
      </c>
      <c r="E25">
        <v>6.4</v>
      </c>
    </row>
    <row r="26" spans="1:18" x14ac:dyDescent="0.25">
      <c r="A26" t="s">
        <v>77</v>
      </c>
      <c r="B26">
        <v>66.3</v>
      </c>
      <c r="C26">
        <v>1358</v>
      </c>
      <c r="D26">
        <v>10.6</v>
      </c>
      <c r="E26">
        <v>25.6</v>
      </c>
    </row>
    <row r="27" spans="1:18" x14ac:dyDescent="0.25">
      <c r="A27" t="s">
        <v>79</v>
      </c>
      <c r="B27">
        <v>58.5</v>
      </c>
      <c r="C27">
        <v>1953</v>
      </c>
      <c r="D27">
        <v>7.7</v>
      </c>
      <c r="E27">
        <v>18.5</v>
      </c>
    </row>
    <row r="28" spans="1:18" x14ac:dyDescent="0.25">
      <c r="A28" t="s">
        <v>81</v>
      </c>
      <c r="B28">
        <v>76.099999999999994</v>
      </c>
      <c r="C28">
        <v>7340</v>
      </c>
      <c r="D28">
        <v>12.4</v>
      </c>
      <c r="E28">
        <v>35.700000000000003</v>
      </c>
    </row>
    <row r="29" spans="1:18" x14ac:dyDescent="0.25">
      <c r="A29" t="s">
        <v>84</v>
      </c>
      <c r="B29">
        <v>63.4</v>
      </c>
      <c r="C29">
        <v>3592</v>
      </c>
      <c r="D29">
        <v>8.6</v>
      </c>
      <c r="E29">
        <v>4.4000000000000004</v>
      </c>
    </row>
    <row r="30" spans="1:18" x14ac:dyDescent="0.25">
      <c r="A30" t="s">
        <v>87</v>
      </c>
      <c r="B30">
        <v>60.4</v>
      </c>
      <c r="C30">
        <v>906</v>
      </c>
      <c r="D30">
        <v>5.4</v>
      </c>
      <c r="E30">
        <v>21.5</v>
      </c>
    </row>
    <row r="31" spans="1:18" x14ac:dyDescent="0.25">
      <c r="A31" t="s">
        <v>89</v>
      </c>
      <c r="B31">
        <v>82.3</v>
      </c>
      <c r="C31">
        <v>68012</v>
      </c>
      <c r="D31">
        <v>17.899999999999999</v>
      </c>
      <c r="E31">
        <v>5.3</v>
      </c>
    </row>
    <row r="32" spans="1:18" x14ac:dyDescent="0.25">
      <c r="A32" t="s">
        <v>92</v>
      </c>
      <c r="B32">
        <v>82</v>
      </c>
      <c r="C32">
        <v>47900</v>
      </c>
      <c r="D32">
        <v>18</v>
      </c>
      <c r="E32">
        <v>17</v>
      </c>
    </row>
    <row r="33" spans="1:5" x14ac:dyDescent="0.25">
      <c r="A33" t="s">
        <v>95</v>
      </c>
      <c r="B33">
        <v>81.400000000000006</v>
      </c>
      <c r="C33">
        <v>27315</v>
      </c>
      <c r="D33">
        <v>16.3</v>
      </c>
      <c r="E33">
        <v>10.3</v>
      </c>
    </row>
    <row r="34" spans="1:5" x14ac:dyDescent="0.25">
      <c r="A34" t="s">
        <v>97</v>
      </c>
      <c r="B34">
        <v>71</v>
      </c>
      <c r="C34">
        <v>2337</v>
      </c>
      <c r="D34">
        <v>8.8000000000000007</v>
      </c>
      <c r="E34">
        <v>18.3</v>
      </c>
    </row>
    <row r="35" spans="1:5" x14ac:dyDescent="0.25">
      <c r="A35" t="s">
        <v>100</v>
      </c>
      <c r="B35">
        <v>81.7</v>
      </c>
      <c r="C35">
        <v>39116</v>
      </c>
      <c r="D35">
        <v>17.399999999999999</v>
      </c>
      <c r="E35">
        <v>66.2</v>
      </c>
    </row>
    <row r="36" spans="1:5" x14ac:dyDescent="0.25">
      <c r="A36" t="s">
        <v>103</v>
      </c>
      <c r="B36">
        <v>67.5</v>
      </c>
      <c r="C36">
        <v>2384</v>
      </c>
      <c r="D36">
        <v>9.6999999999999993</v>
      </c>
      <c r="E36">
        <v>15.9</v>
      </c>
    </row>
    <row r="37" spans="1:5" x14ac:dyDescent="0.25">
      <c r="A37" t="s">
        <v>106</v>
      </c>
      <c r="B37">
        <v>75.3</v>
      </c>
      <c r="C37">
        <v>13019</v>
      </c>
      <c r="D37">
        <v>14.6</v>
      </c>
      <c r="E37">
        <v>8.8000000000000007</v>
      </c>
    </row>
    <row r="38" spans="1:5" x14ac:dyDescent="0.25">
      <c r="A38" t="s">
        <v>109</v>
      </c>
      <c r="B38">
        <v>77</v>
      </c>
      <c r="C38">
        <v>29467</v>
      </c>
      <c r="D38">
        <v>15</v>
      </c>
      <c r="E38">
        <v>5.4</v>
      </c>
    </row>
    <row r="39" spans="1:5" x14ac:dyDescent="0.25">
      <c r="A39" t="s">
        <v>112</v>
      </c>
      <c r="B39">
        <v>81.099999999999994</v>
      </c>
      <c r="C39">
        <v>30594</v>
      </c>
      <c r="D39">
        <v>17.2</v>
      </c>
      <c r="E39">
        <v>2.1</v>
      </c>
    </row>
    <row r="40" spans="1:5" x14ac:dyDescent="0.25">
      <c r="A40" t="s">
        <v>115</v>
      </c>
      <c r="B40">
        <v>82.6</v>
      </c>
      <c r="C40">
        <v>47766</v>
      </c>
      <c r="D40">
        <v>17.600000000000001</v>
      </c>
      <c r="E40">
        <v>9.9</v>
      </c>
    </row>
    <row r="41" spans="1:5" x14ac:dyDescent="0.25">
      <c r="A41" t="s">
        <v>118</v>
      </c>
      <c r="B41">
        <v>83.5</v>
      </c>
      <c r="C41">
        <v>57625</v>
      </c>
      <c r="D41">
        <v>16.2</v>
      </c>
      <c r="E41">
        <v>8.5</v>
      </c>
    </row>
    <row r="42" spans="1:5" x14ac:dyDescent="0.25">
      <c r="A42" t="s">
        <v>121</v>
      </c>
      <c r="B42">
        <v>53.2</v>
      </c>
      <c r="C42">
        <v>1750</v>
      </c>
      <c r="D42">
        <v>8</v>
      </c>
      <c r="E42">
        <v>14.9</v>
      </c>
    </row>
    <row r="43" spans="1:5" x14ac:dyDescent="0.25">
      <c r="A43" t="s">
        <v>124</v>
      </c>
      <c r="B43">
        <v>73.599999999999994</v>
      </c>
      <c r="C43">
        <v>5055</v>
      </c>
      <c r="D43">
        <v>12.8</v>
      </c>
      <c r="E43">
        <v>4.9000000000000004</v>
      </c>
    </row>
    <row r="44" spans="1:5" x14ac:dyDescent="0.25">
      <c r="A44" t="s">
        <v>127</v>
      </c>
      <c r="B44">
        <v>75.900000000000006</v>
      </c>
      <c r="C44">
        <v>10275</v>
      </c>
      <c r="D44">
        <v>15.1</v>
      </c>
      <c r="E44">
        <v>11.5</v>
      </c>
    </row>
    <row r="45" spans="1:5" x14ac:dyDescent="0.25">
      <c r="A45" t="s">
        <v>130</v>
      </c>
      <c r="B45">
        <v>76</v>
      </c>
      <c r="C45">
        <v>24804</v>
      </c>
      <c r="D45">
        <v>15.2</v>
      </c>
      <c r="E45">
        <v>80.7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F8CD-D349-4B25-9242-B68496601E28}">
  <dimension ref="A1:R45"/>
  <sheetViews>
    <sheetView tabSelected="1" topLeftCell="H1" zoomScale="193" zoomScaleNormal="69" workbookViewId="0">
      <selection activeCell="J11" sqref="J11"/>
    </sheetView>
  </sheetViews>
  <sheetFormatPr baseColWidth="10" defaultRowHeight="13.2" x14ac:dyDescent="0.25"/>
  <cols>
    <col min="4" max="4" width="17.44140625" bestFit="1" customWidth="1"/>
    <col min="9" max="9" width="29.88671875" bestFit="1" customWidth="1"/>
    <col min="10" max="10" width="34.5546875" customWidth="1"/>
  </cols>
  <sheetData>
    <row r="1" spans="1:10" x14ac:dyDescent="0.25">
      <c r="A1" t="s">
        <v>0</v>
      </c>
      <c r="B1" t="s">
        <v>3</v>
      </c>
      <c r="C1" t="s">
        <v>5</v>
      </c>
      <c r="D1" t="s">
        <v>175</v>
      </c>
    </row>
    <row r="2" spans="1:10" x14ac:dyDescent="0.25">
      <c r="A2" t="s">
        <v>9</v>
      </c>
      <c r="B2">
        <v>78.5</v>
      </c>
      <c r="C2">
        <v>2.9</v>
      </c>
      <c r="D2" s="12">
        <f>C2*(B2-J$7)^2</f>
        <v>73.152370784083033</v>
      </c>
    </row>
    <row r="3" spans="1:10" x14ac:dyDescent="0.25">
      <c r="A3" t="s">
        <v>12</v>
      </c>
      <c r="B3">
        <v>76.3</v>
      </c>
      <c r="C3">
        <v>41.3</v>
      </c>
      <c r="D3" s="12">
        <f t="shared" ref="D3:D45" si="0">C3*(B3-J$7)^2</f>
        <v>329.00392427024832</v>
      </c>
    </row>
    <row r="4" spans="1:10" x14ac:dyDescent="0.25">
      <c r="A4" t="s">
        <v>15</v>
      </c>
      <c r="B4">
        <v>81.2</v>
      </c>
      <c r="C4">
        <v>82.1</v>
      </c>
      <c r="D4" s="12">
        <f t="shared" si="0"/>
        <v>4896.1286816285728</v>
      </c>
    </row>
    <row r="5" spans="1:10" x14ac:dyDescent="0.25">
      <c r="A5" t="s">
        <v>18</v>
      </c>
      <c r="B5">
        <v>81.3</v>
      </c>
      <c r="C5">
        <v>11.4</v>
      </c>
      <c r="D5" s="12">
        <f t="shared" si="0"/>
        <v>697.573391428121</v>
      </c>
    </row>
    <row r="6" spans="1:10" x14ac:dyDescent="0.25">
      <c r="A6" t="s">
        <v>21</v>
      </c>
      <c r="B6">
        <v>58.6</v>
      </c>
      <c r="C6">
        <v>24.1</v>
      </c>
      <c r="D6" s="12">
        <f t="shared" si="0"/>
        <v>5334.3334721041119</v>
      </c>
      <c r="I6" s="13" t="s">
        <v>183</v>
      </c>
      <c r="J6" s="14">
        <f>AVERAGE(B2:B45)</f>
        <v>73.427272727272722</v>
      </c>
    </row>
    <row r="7" spans="1:10" x14ac:dyDescent="0.25">
      <c r="A7" t="s">
        <v>24</v>
      </c>
      <c r="B7">
        <v>65.099999999999994</v>
      </c>
      <c r="C7">
        <v>5.3</v>
      </c>
      <c r="D7" s="12">
        <f t="shared" si="0"/>
        <v>371.97215250616404</v>
      </c>
      <c r="I7" s="13" t="s">
        <v>174</v>
      </c>
      <c r="J7" s="14">
        <f>SUMPRODUCT(B2:B45,C2:C45)/SUM(C2:C45)</f>
        <v>73.47755483426775</v>
      </c>
    </row>
    <row r="8" spans="1:10" x14ac:dyDescent="0.25">
      <c r="A8" t="s">
        <v>26</v>
      </c>
      <c r="B8">
        <v>60</v>
      </c>
      <c r="C8">
        <v>81.3</v>
      </c>
      <c r="D8" s="12">
        <f t="shared" si="0"/>
        <v>14767.696574459422</v>
      </c>
      <c r="I8" s="13" t="s">
        <v>176</v>
      </c>
      <c r="J8" s="14">
        <f>SUM(D2:D45)/SUM(C2:C45)</f>
        <v>86.694293106440469</v>
      </c>
    </row>
    <row r="9" spans="1:10" x14ac:dyDescent="0.25">
      <c r="A9" t="s">
        <v>29</v>
      </c>
      <c r="B9">
        <v>54.1</v>
      </c>
      <c r="C9">
        <v>24.3</v>
      </c>
      <c r="D9" s="12">
        <f t="shared" si="0"/>
        <v>9124.3980419277977</v>
      </c>
    </row>
    <row r="10" spans="1:10" x14ac:dyDescent="0.25">
      <c r="A10" t="s">
        <v>31</v>
      </c>
      <c r="B10">
        <v>77.8</v>
      </c>
      <c r="C10">
        <v>4.2</v>
      </c>
      <c r="D10" s="12">
        <f t="shared" si="0"/>
        <v>78.470835285200735</v>
      </c>
    </row>
    <row r="11" spans="1:10" x14ac:dyDescent="0.25">
      <c r="A11" t="s">
        <v>34</v>
      </c>
      <c r="B11">
        <v>80.900000000000006</v>
      </c>
      <c r="C11">
        <v>5.7</v>
      </c>
      <c r="D11" s="12">
        <f t="shared" si="0"/>
        <v>314.02834575832225</v>
      </c>
    </row>
    <row r="12" spans="1:10" x14ac:dyDescent="0.25">
      <c r="A12" t="s">
        <v>37</v>
      </c>
      <c r="B12">
        <v>83.3</v>
      </c>
      <c r="C12">
        <v>46.4</v>
      </c>
      <c r="D12" s="12">
        <f t="shared" si="0"/>
        <v>4476.6919071691</v>
      </c>
    </row>
    <row r="13" spans="1:10" x14ac:dyDescent="0.25">
      <c r="A13" t="s">
        <v>40</v>
      </c>
      <c r="B13">
        <v>65.900000000000006</v>
      </c>
      <c r="C13">
        <v>105</v>
      </c>
      <c r="D13" s="12">
        <f t="shared" si="0"/>
        <v>6029.0304129651186</v>
      </c>
    </row>
    <row r="14" spans="1:10" x14ac:dyDescent="0.25">
      <c r="A14" t="s">
        <v>43</v>
      </c>
      <c r="B14">
        <v>81.5</v>
      </c>
      <c r="C14">
        <v>5.5</v>
      </c>
      <c r="D14" s="12">
        <f t="shared" si="0"/>
        <v>353.97794540449411</v>
      </c>
    </row>
    <row r="15" spans="1:10" x14ac:dyDescent="0.25">
      <c r="A15" t="s">
        <v>46</v>
      </c>
      <c r="B15">
        <v>82.7</v>
      </c>
      <c r="C15">
        <v>65</v>
      </c>
      <c r="D15" s="12">
        <f t="shared" si="0"/>
        <v>5528.4771642709838</v>
      </c>
    </row>
    <row r="16" spans="1:10" x14ac:dyDescent="0.25">
      <c r="A16" t="s">
        <v>48</v>
      </c>
      <c r="B16">
        <v>66.5</v>
      </c>
      <c r="C16">
        <v>2</v>
      </c>
      <c r="D16" s="12">
        <f t="shared" si="0"/>
        <v>97.372542930426491</v>
      </c>
    </row>
    <row r="17" spans="1:18" x14ac:dyDescent="0.25">
      <c r="A17" t="s">
        <v>50</v>
      </c>
      <c r="B17">
        <v>81.400000000000006</v>
      </c>
      <c r="C17">
        <v>11.2</v>
      </c>
      <c r="D17" s="12">
        <f t="shared" si="0"/>
        <v>702.96953892518525</v>
      </c>
    </row>
    <row r="18" spans="1:18" x14ac:dyDescent="0.25">
      <c r="A18" t="s">
        <v>53</v>
      </c>
      <c r="B18">
        <v>60.6</v>
      </c>
      <c r="C18">
        <v>12.7</v>
      </c>
      <c r="D18" s="12">
        <f t="shared" si="0"/>
        <v>2106.0590150715725</v>
      </c>
      <c r="N18" s="21"/>
      <c r="O18" s="21"/>
      <c r="P18" s="21"/>
      <c r="Q18" s="21"/>
      <c r="R18" s="21"/>
    </row>
    <row r="19" spans="1:18" x14ac:dyDescent="0.25">
      <c r="A19" t="s">
        <v>56</v>
      </c>
      <c r="B19">
        <v>57.9</v>
      </c>
      <c r="C19">
        <v>1.3</v>
      </c>
      <c r="D19" s="12">
        <f t="shared" si="0"/>
        <v>315.45827899900416</v>
      </c>
    </row>
    <row r="20" spans="1:18" x14ac:dyDescent="0.25">
      <c r="A20" t="s">
        <v>59</v>
      </c>
      <c r="B20">
        <v>76.099999999999994</v>
      </c>
      <c r="C20">
        <v>9.6999999999999993</v>
      </c>
      <c r="D20" s="12">
        <f t="shared" si="0"/>
        <v>66.709020878542475</v>
      </c>
    </row>
    <row r="21" spans="1:18" x14ac:dyDescent="0.25">
      <c r="A21" t="s">
        <v>62</v>
      </c>
      <c r="B21">
        <v>82.7</v>
      </c>
      <c r="C21">
        <v>8.3000000000000007</v>
      </c>
      <c r="D21" s="12">
        <f t="shared" si="0"/>
        <v>705.9440071299872</v>
      </c>
    </row>
    <row r="22" spans="1:18" x14ac:dyDescent="0.25">
      <c r="A22" t="s">
        <v>65</v>
      </c>
      <c r="B22">
        <v>83.2</v>
      </c>
      <c r="C22">
        <v>59.4</v>
      </c>
      <c r="D22" s="12">
        <f t="shared" si="0"/>
        <v>5614.8408360398253</v>
      </c>
    </row>
    <row r="23" spans="1:18" x14ac:dyDescent="0.25">
      <c r="A23" t="s">
        <v>68</v>
      </c>
      <c r="B23">
        <v>74.5</v>
      </c>
      <c r="C23">
        <v>9.6999999999999993</v>
      </c>
      <c r="D23" s="12">
        <f t="shared" si="0"/>
        <v>10.140322934213716</v>
      </c>
    </row>
    <row r="24" spans="1:18" x14ac:dyDescent="0.25">
      <c r="A24" t="s">
        <v>71</v>
      </c>
      <c r="B24">
        <v>79.8</v>
      </c>
      <c r="C24">
        <v>6.1</v>
      </c>
      <c r="D24" s="12">
        <f t="shared" si="0"/>
        <v>243.83720852951546</v>
      </c>
    </row>
    <row r="25" spans="1:18" x14ac:dyDescent="0.25">
      <c r="A25" t="s">
        <v>74</v>
      </c>
      <c r="B25">
        <v>72.099999999999994</v>
      </c>
      <c r="C25">
        <v>6.4</v>
      </c>
      <c r="D25" s="12">
        <f t="shared" si="0"/>
        <v>12.145006857052563</v>
      </c>
    </row>
    <row r="26" spans="1:18" x14ac:dyDescent="0.25">
      <c r="A26" t="s">
        <v>77</v>
      </c>
      <c r="B26">
        <v>66.3</v>
      </c>
      <c r="C26">
        <v>25.6</v>
      </c>
      <c r="D26" s="12">
        <f t="shared" si="0"/>
        <v>1318.8427110123619</v>
      </c>
    </row>
    <row r="27" spans="1:18" x14ac:dyDescent="0.25">
      <c r="A27" t="s">
        <v>79</v>
      </c>
      <c r="B27">
        <v>58.5</v>
      </c>
      <c r="C27">
        <v>18.5</v>
      </c>
      <c r="D27" s="12">
        <f t="shared" si="0"/>
        <v>4150.0522530496992</v>
      </c>
    </row>
    <row r="28" spans="1:18" x14ac:dyDescent="0.25">
      <c r="A28" t="s">
        <v>81</v>
      </c>
      <c r="B28">
        <v>76.099999999999994</v>
      </c>
      <c r="C28">
        <v>35.700000000000003</v>
      </c>
      <c r="D28" s="12">
        <f t="shared" si="0"/>
        <v>245.51670570762545</v>
      </c>
    </row>
    <row r="29" spans="1:18" x14ac:dyDescent="0.25">
      <c r="A29" t="s">
        <v>84</v>
      </c>
      <c r="B29">
        <v>63.4</v>
      </c>
      <c r="C29">
        <v>4.4000000000000004</v>
      </c>
      <c r="D29" s="12">
        <f t="shared" si="0"/>
        <v>446.85129032576259</v>
      </c>
    </row>
    <row r="30" spans="1:18" x14ac:dyDescent="0.25">
      <c r="A30" t="s">
        <v>87</v>
      </c>
      <c r="B30">
        <v>60.4</v>
      </c>
      <c r="C30">
        <v>21.5</v>
      </c>
      <c r="D30" s="12">
        <f t="shared" si="0"/>
        <v>3676.9824695305165</v>
      </c>
    </row>
    <row r="31" spans="1:18" x14ac:dyDescent="0.25">
      <c r="A31" t="s">
        <v>89</v>
      </c>
      <c r="B31">
        <v>82.3</v>
      </c>
      <c r="C31">
        <v>5.3</v>
      </c>
      <c r="D31" s="12">
        <f t="shared" si="0"/>
        <v>412.52835512246725</v>
      </c>
    </row>
    <row r="32" spans="1:18" x14ac:dyDescent="0.25">
      <c r="A32" t="s">
        <v>92</v>
      </c>
      <c r="B32">
        <v>82</v>
      </c>
      <c r="C32">
        <v>17</v>
      </c>
      <c r="D32" s="12">
        <f t="shared" si="0"/>
        <v>1234.7452172495209</v>
      </c>
    </row>
    <row r="33" spans="1:4" x14ac:dyDescent="0.25">
      <c r="A33" t="s">
        <v>95</v>
      </c>
      <c r="B33">
        <v>81.400000000000006</v>
      </c>
      <c r="C33">
        <v>10.3</v>
      </c>
      <c r="D33" s="12">
        <f t="shared" si="0"/>
        <v>646.4809152615544</v>
      </c>
    </row>
    <row r="34" spans="1:4" x14ac:dyDescent="0.25">
      <c r="A34" t="s">
        <v>97</v>
      </c>
      <c r="B34">
        <v>71</v>
      </c>
      <c r="C34">
        <v>18.3</v>
      </c>
      <c r="D34" s="12">
        <f t="shared" si="0"/>
        <v>112.33048660950399</v>
      </c>
    </row>
    <row r="35" spans="1:4" x14ac:dyDescent="0.25">
      <c r="A35" t="s">
        <v>100</v>
      </c>
      <c r="B35">
        <v>81.7</v>
      </c>
      <c r="C35">
        <v>66.2</v>
      </c>
      <c r="D35" s="12">
        <f t="shared" si="0"/>
        <v>4475.6896181299589</v>
      </c>
    </row>
    <row r="36" spans="1:4" x14ac:dyDescent="0.25">
      <c r="A36" t="s">
        <v>103</v>
      </c>
      <c r="B36">
        <v>67.5</v>
      </c>
      <c r="C36">
        <v>15.9</v>
      </c>
      <c r="D36" s="12">
        <f t="shared" si="0"/>
        <v>568.12547256717619</v>
      </c>
    </row>
    <row r="37" spans="1:4" x14ac:dyDescent="0.25">
      <c r="A37" t="s">
        <v>106</v>
      </c>
      <c r="B37">
        <v>75.3</v>
      </c>
      <c r="C37">
        <v>8.8000000000000007</v>
      </c>
      <c r="D37" s="12">
        <f t="shared" si="0"/>
        <v>29.227496162487387</v>
      </c>
    </row>
    <row r="38" spans="1:4" x14ac:dyDescent="0.25">
      <c r="A38" t="s">
        <v>109</v>
      </c>
      <c r="B38">
        <v>77</v>
      </c>
      <c r="C38">
        <v>5.4</v>
      </c>
      <c r="D38" s="12">
        <f t="shared" si="0"/>
        <v>67.001147706188704</v>
      </c>
    </row>
    <row r="39" spans="1:4" x14ac:dyDescent="0.25">
      <c r="A39" t="s">
        <v>112</v>
      </c>
      <c r="B39">
        <v>81.099999999999994</v>
      </c>
      <c r="C39">
        <v>2.1</v>
      </c>
      <c r="D39" s="12">
        <f t="shared" si="0"/>
        <v>122.01350763964923</v>
      </c>
    </row>
    <row r="40" spans="1:4" x14ac:dyDescent="0.25">
      <c r="A40" t="s">
        <v>115</v>
      </c>
      <c r="B40">
        <v>82.6</v>
      </c>
      <c r="C40">
        <v>9.9</v>
      </c>
      <c r="D40" s="12">
        <f t="shared" si="0"/>
        <v>823.86815743773684</v>
      </c>
    </row>
    <row r="41" spans="1:4" x14ac:dyDescent="0.25">
      <c r="A41" t="s">
        <v>118</v>
      </c>
      <c r="B41">
        <v>83.5</v>
      </c>
      <c r="C41">
        <v>8.5</v>
      </c>
      <c r="D41" s="12">
        <f t="shared" si="0"/>
        <v>853.81996035093289</v>
      </c>
    </row>
    <row r="42" spans="1:4" x14ac:dyDescent="0.25">
      <c r="A42" t="s">
        <v>121</v>
      </c>
      <c r="B42">
        <v>53.2</v>
      </c>
      <c r="C42">
        <v>14.9</v>
      </c>
      <c r="D42" s="12">
        <f t="shared" si="0"/>
        <v>6126.5705278453552</v>
      </c>
    </row>
    <row r="43" spans="1:4" x14ac:dyDescent="0.25">
      <c r="A43" t="s">
        <v>124</v>
      </c>
      <c r="B43">
        <v>73.599999999999994</v>
      </c>
      <c r="C43">
        <v>4.9000000000000004</v>
      </c>
      <c r="D43" s="12">
        <f t="shared" si="0"/>
        <v>7.3464811194864713E-2</v>
      </c>
    </row>
    <row r="44" spans="1:4" x14ac:dyDescent="0.25">
      <c r="A44" t="s">
        <v>127</v>
      </c>
      <c r="B44">
        <v>75.900000000000006</v>
      </c>
      <c r="C44">
        <v>11.5</v>
      </c>
      <c r="D44" s="12">
        <f t="shared" si="0"/>
        <v>67.484766681265143</v>
      </c>
    </row>
    <row r="45" spans="1:4" x14ac:dyDescent="0.25">
      <c r="A45" t="s">
        <v>130</v>
      </c>
      <c r="B45">
        <v>76</v>
      </c>
      <c r="C45">
        <v>80.7</v>
      </c>
      <c r="D45" s="12">
        <f t="shared" si="0"/>
        <v>513.47227985996824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11</vt:i4>
      </vt:variant>
      <vt:variant>
        <vt:lpstr>Graphiques</vt:lpstr>
      </vt:variant>
      <vt:variant>
        <vt:i4>4</vt:i4>
      </vt:variant>
    </vt:vector>
  </HeadingPairs>
  <TitlesOfParts>
    <vt:vector size="15" baseType="lpstr">
      <vt:lpstr>Dataset</vt:lpstr>
      <vt:lpstr>Q1</vt:lpstr>
      <vt:lpstr>Q2</vt:lpstr>
      <vt:lpstr>Q3</vt:lpstr>
      <vt:lpstr>Q4</vt:lpstr>
      <vt:lpstr>Q5</vt:lpstr>
      <vt:lpstr>Q6</vt:lpstr>
      <vt:lpstr>Q7</vt:lpstr>
      <vt:lpstr>Q8</vt:lpstr>
      <vt:lpstr>Q9</vt:lpstr>
      <vt:lpstr>Q10</vt:lpstr>
      <vt:lpstr>Q4_G</vt:lpstr>
      <vt:lpstr>Q5_G</vt:lpstr>
      <vt:lpstr>Q6_G</vt:lpstr>
      <vt:lpstr>Q8_G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Renaud Orain</dc:creator>
  <dc:description/>
  <cp:lastModifiedBy>Marc O'FLAHERTY</cp:lastModifiedBy>
  <cp:revision>1</cp:revision>
  <dcterms:created xsi:type="dcterms:W3CDTF">2021-04-07T07:39:14Z</dcterms:created>
  <dcterms:modified xsi:type="dcterms:W3CDTF">2026-02-14T12:50:28Z</dcterms:modified>
  <dc:language>fr-FR</dc:language>
</cp:coreProperties>
</file>